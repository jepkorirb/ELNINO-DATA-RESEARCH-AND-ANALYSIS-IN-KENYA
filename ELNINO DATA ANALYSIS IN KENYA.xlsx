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i!\Documents\Dataanalytics\Projects\Excel\ELNINO-DATA-RESEARCH-AND-ANALYSIS-IN-KENYA\"/>
    </mc:Choice>
  </mc:AlternateContent>
  <xr:revisionPtr revIDLastSave="0" documentId="13_ncr:1_{5600233E-8B57-4A00-A814-3E4E89E794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  <sheet name="Sheet1" sheetId="1" r:id="rId2"/>
  </sheets>
  <definedNames>
    <definedName name="_xlcn.WorksheetConnection_Sheet1A1J57" hidden="1">Sheet1!$A$1:$J$57</definedName>
  </definedNames>
  <calcPr calcId="191029"/>
  <pivotCaches>
    <pivotCache cacheId="67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J$5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" i="1" l="1"/>
  <c r="E57" i="1"/>
  <c r="F57" i="1"/>
  <c r="G57" i="1"/>
  <c r="C57" i="1"/>
  <c r="D56" i="1"/>
  <c r="E56" i="1"/>
  <c r="F56" i="1"/>
  <c r="G56" i="1"/>
  <c r="C56" i="1"/>
  <c r="D55" i="1"/>
  <c r="E55" i="1"/>
  <c r="F55" i="1"/>
  <c r="G55" i="1"/>
  <c r="C55" i="1"/>
  <c r="D54" i="1"/>
  <c r="E54" i="1"/>
  <c r="F54" i="1"/>
  <c r="G54" i="1"/>
  <c r="C54" i="1"/>
  <c r="D53" i="1"/>
  <c r="E53" i="1"/>
  <c r="F53" i="1"/>
  <c r="G53" i="1"/>
  <c r="C53" i="1"/>
  <c r="D52" i="1"/>
  <c r="E52" i="1"/>
  <c r="F52" i="1"/>
  <c r="G52" i="1"/>
  <c r="C5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D0B379-BECE-4FCC-8FA0-8BF43F7664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96C9F41-983F-46D7-9406-6C86A55F9756}" name="WorksheetConnection_Sheet1!$A$1:$J$5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J57"/>
        </x15:connection>
      </ext>
    </extLst>
  </connection>
</connections>
</file>

<file path=xl/sharedStrings.xml><?xml version="1.0" encoding="utf-8"?>
<sst xmlns="http://schemas.openxmlformats.org/spreadsheetml/2006/main" count="442" uniqueCount="46">
  <si>
    <t>Year</t>
  </si>
  <si>
    <t>Month</t>
  </si>
  <si>
    <t>ONI Value</t>
  </si>
  <si>
    <t>Rainfall(mm)</t>
  </si>
  <si>
    <t>Temp(c)</t>
  </si>
  <si>
    <t>Humidity(%)</t>
  </si>
  <si>
    <t>Rainy Days</t>
  </si>
  <si>
    <t>Region</t>
  </si>
  <si>
    <t>ENSO phase</t>
  </si>
  <si>
    <t>Flood Reported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</si>
  <si>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</si>
  <si>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</si>
  <si>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</si>
  <si>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</si>
  <si>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</si>
  <si>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</si>
  <si>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</si>
  <si>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</si>
  <si>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</si>
  <si>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</si>
  <si>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</si>
  <si>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</si>
  <si>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Nairobi</t>
  </si>
  <si>
    <t>Kisumu</t>
  </si>
  <si>
    <t>El Nino</t>
  </si>
  <si>
    <t>Neutral</t>
  </si>
  <si>
    <t>La Nina</t>
  </si>
  <si>
    <t>Yes</t>
  </si>
  <si>
    <t>No</t>
  </si>
  <si>
    <t>Total</t>
  </si>
  <si>
    <t>MAX</t>
  </si>
  <si>
    <t>MIN</t>
  </si>
  <si>
    <t>AVERAGE</t>
  </si>
  <si>
    <t>ROUND</t>
  </si>
  <si>
    <t>MEDIAN</t>
  </si>
  <si>
    <t>Row Labels</t>
  </si>
  <si>
    <t>2023</t>
  </si>
  <si>
    <t>2024</t>
  </si>
  <si>
    <t>2025</t>
  </si>
  <si>
    <t>Grand Total</t>
  </si>
  <si>
    <t>(blank)</t>
  </si>
  <si>
    <t>Sum of ONI Value</t>
  </si>
  <si>
    <t>Sum of Rainfall(mm)</t>
  </si>
  <si>
    <t>Sum of Temp(c)</t>
  </si>
  <si>
    <t>Sum of Humidity(%)</t>
  </si>
  <si>
    <t>Sum of Rainy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</si>
</sst>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!" refreshedDate="46323.628542939812" backgroundQuery="1" createdVersion="8" refreshedVersion="8" minRefreshableVersion="3" recordCount="0" supportSubquery="1" supportAdvancedDrill="1" xr:uid="{731E26C0-DE28-45CE-A579-49E7A095C7D4}">
  <cacheSource type="external" connectionId="1"/>
  <cacheFields count="10">
    <cacheField name="[Range].[Year].[Year]" caption="Year" numFmtId="0" level="1">
      <sharedItems count="9">
        <s v="2023"/>
        <s v="2024"/>
        <s v="2025"/>
        <s v="AVERAGE"/>
        <s v="MAX"/>
        <s v="MEDIAN"/>
        <s v="MIN"/>
        <s v="ROUND"/>
        <s v="Total"/>
      </sharedItems>
    </cacheField>
    <cacheField name="[Range].[Month].[Month]" caption="Month" numFmtId="0" hierarchy="1" level="1">
      <sharedItems containsBlank="1" count="13">
        <s v="April"/>
        <s v="Aug"/>
        <s v="Dec"/>
        <s v="Feb"/>
        <s v="Jan"/>
        <s v="July"/>
        <s v="June"/>
        <s v="March"/>
        <s v="May"/>
        <s v="Nov"/>
        <s v="Oct"/>
        <s v="Sep"/>
        <m/>
      </sharedItems>
    </cacheField>
    <cacheField name="[Measures].[Sum of ONI Value]" caption="Sum of ONI Value" numFmtId="0" hierarchy="12" level="32767"/>
    <cacheField name="[Measures].[Sum of Rainfall(mm)]" caption="Sum of Rainfall(mm)" numFmtId="0" hierarchy="13" level="32767"/>
    <cacheField name="[Measures].[Sum of Temp(c)]" caption="Sum of Temp(c)" numFmtId="0" hierarchy="14" level="32767"/>
    <cacheField name="[Range].[Region].[Region]" caption="Region" numFmtId="0" hierarchy="7" level="1">
      <sharedItems containsBlank="1" count="3">
        <s v="Kisumu"/>
        <s v="Nairobi"/>
        <m/>
      </sharedItems>
    </cacheField>
    <cacheField name="[Measures].[Sum of Humidity(%)]" caption="Sum of Humidity(%)" numFmtId="0" hierarchy="15" level="32767"/>
    <cacheField name="[Measures].[Sum of Rainy Days]" caption="Sum of Rainy Days" numFmtId="0" hierarchy="16" level="32767"/>
    <cacheField name="[Range].[ENSO phase].[ENSO phase]" caption="ENSO phase" numFmtId="0" hierarchy="8" level="1">
      <sharedItems containsBlank="1" count="4">
        <s v="Neutral"/>
        <s v="El Nino"/>
        <s v="La Nina"/>
        <m/>
      </sharedItems>
    </cacheField>
    <cacheField name="[Range].[Flood Reported].[Flood Reported]" caption="Flood Reported" numFmtId="0" hierarchy="9" level="1">
      <sharedItems containsBlank="1" count="3">
        <s v="No"/>
        <s v="Yes"/>
        <m/>
      </sharedItems>
    </cacheField>
  </cacheFields>
  <cacheHierarchies count="17">
    <cacheHierarchy uniqueName="[Range].[Year]" caption="Year" attribute="1" defaultMemberUniqueName="[Range].[Year].[All]" allUniqueName="[Range].[Yea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NI Value]" caption="ONI Value" attribute="1" defaultMemberUniqueName="[Range].[ONI Value].[All]" allUniqueName="[Range].[ONI Value].[All]" dimensionUniqueName="[Range]" displayFolder="" count="0" memberValueDatatype="5" unbalanced="0"/>
    <cacheHierarchy uniqueName="[Range].[Rainfall(mm)]" caption="Rainfall(mm)" attribute="1" defaultMemberUniqueName="[Range].[Rainfall(mm)].[All]" allUniqueName="[Range].[Rainfall(mm)].[All]" dimensionUniqueName="[Range]" displayFolder="" count="0" memberValueDatatype="5" unbalanced="0"/>
    <cacheHierarchy uniqueName="[Range].[Temp(c)]" caption="Temp(c)" attribute="1" defaultMemberUniqueName="[Range].[Temp(c)].[All]" allUniqueName="[Range].[Temp(c)].[All]" dimensionUniqueName="[Range]" displayFolder="" count="0" memberValueDatatype="5" unbalanced="0"/>
    <cacheHierarchy uniqueName="[Range].[Humidity(%)]" caption="Humidity(%)" attribute="1" defaultMemberUniqueName="[Range].[Humidity(%)].[All]" allUniqueName="[Range].[Humidity(%)].[All]" dimensionUniqueName="[Range]" displayFolder="" count="0" memberValueDatatype="5" unbalanced="0"/>
    <cacheHierarchy uniqueName="[Range].[Rainy Days]" caption="Rainy Days" attribute="1" defaultMemberUniqueName="[Range].[Rainy Days].[All]" allUniqueName="[Range].[Rainy Days].[All]" dimensionUniqueName="[Range]" displayFolder="" count="0" memberValueDatatype="5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5"/>
      </fieldsUsage>
    </cacheHierarchy>
    <cacheHierarchy uniqueName="[Range].[ENSO phase]" caption="ENSO phase" attribute="1" defaultMemberUniqueName="[Range].[ENSO phase].[All]" allUniqueName="[Range].[ENSO phase].[All]" dimensionUniqueName="[Range]" displayFolder="" count="2" memberValueDatatype="130" unbalanced="0">
      <fieldsUsage count="2">
        <fieldUsage x="-1"/>
        <fieldUsage x="8"/>
      </fieldsUsage>
    </cacheHierarchy>
    <cacheHierarchy uniqueName="[Range].[Flood Reported]" caption="Flood Reported" attribute="1" defaultMemberUniqueName="[Range].[Flood Reported].[All]" allUniqueName="[Range].[Flood Reported].[All]" dimensionUniqueName="[Range]" displayFolder="" count="2" memberValueDatatype="130" unbalanced="0">
      <fieldsUsage count="2">
        <fieldUsage x="-1"/>
        <fieldUsage x="9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NI Value]" caption="Sum of ONI Valu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infall(mm)]" caption="Sum of Rainfall(mm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emp(c)]" caption="Sum of Temp(c)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umidity(%)]" caption="Sum of Humidity(%)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iny Days]" caption="Sum of Rainy Days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BFAB3-0714-40D4-8A43-42E497BDC97E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3" firstHeaderRow="0" firstDataRow="1" firstDataCol="1"/>
  <pivotFields count="10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5">
    <field x="0"/>
    <field x="1"/>
    <field x="5"/>
    <field x="8"/>
    <field x="9"/>
  </rowFields>
  <rowItems count="220">
    <i>
      <x/>
    </i>
    <i r="1">
      <x/>
    </i>
    <i r="2">
      <x/>
    </i>
    <i r="3">
      <x/>
    </i>
    <i r="4">
      <x/>
    </i>
    <i r="2">
      <x v="1"/>
    </i>
    <i r="3">
      <x v="1"/>
    </i>
    <i r="4">
      <x v="1"/>
    </i>
    <i r="1">
      <x v="1"/>
    </i>
    <i r="2">
      <x/>
    </i>
    <i r="3">
      <x v="1"/>
    </i>
    <i r="4">
      <x v="1"/>
    </i>
    <i r="2">
      <x v="1"/>
    </i>
    <i r="3">
      <x v="1"/>
    </i>
    <i r="4">
      <x v="1"/>
    </i>
    <i r="1">
      <x v="2"/>
    </i>
    <i r="2">
      <x/>
    </i>
    <i r="3">
      <x v="1"/>
    </i>
    <i r="4">
      <x v="1"/>
    </i>
    <i r="2">
      <x v="1"/>
    </i>
    <i r="3">
      <x v="1"/>
    </i>
    <i r="4">
      <x/>
    </i>
    <i r="1">
      <x v="3"/>
    </i>
    <i r="2">
      <x/>
    </i>
    <i r="3">
      <x/>
    </i>
    <i r="4">
      <x/>
    </i>
    <i r="2">
      <x v="1"/>
    </i>
    <i r="3">
      <x v="1"/>
    </i>
    <i r="4">
      <x v="1"/>
    </i>
    <i r="1">
      <x v="4"/>
    </i>
    <i r="2">
      <x/>
    </i>
    <i r="3">
      <x/>
    </i>
    <i r="4">
      <x/>
    </i>
    <i r="2">
      <x v="1"/>
    </i>
    <i r="3">
      <x v="1"/>
    </i>
    <i r="4">
      <x v="1"/>
    </i>
    <i r="1">
      <x v="5"/>
    </i>
    <i r="2">
      <x/>
    </i>
    <i r="3">
      <x v="1"/>
    </i>
    <i r="4">
      <x v="1"/>
    </i>
    <i r="2">
      <x v="1"/>
    </i>
    <i r="3">
      <x v="1"/>
    </i>
    <i r="4">
      <x v="1"/>
    </i>
    <i r="1">
      <x v="6"/>
    </i>
    <i r="2">
      <x/>
    </i>
    <i r="3">
      <x/>
    </i>
    <i r="4">
      <x v="1"/>
    </i>
    <i r="2">
      <x v="1"/>
    </i>
    <i r="3">
      <x v="1"/>
    </i>
    <i r="4">
      <x v="1"/>
    </i>
    <i r="1">
      <x v="7"/>
    </i>
    <i r="2">
      <x/>
    </i>
    <i r="3">
      <x/>
    </i>
    <i r="4">
      <x/>
    </i>
    <i r="2">
      <x v="1"/>
    </i>
    <i r="3">
      <x v="1"/>
    </i>
    <i r="4">
      <x v="1"/>
    </i>
    <i r="1">
      <x v="8"/>
    </i>
    <i r="2">
      <x/>
    </i>
    <i r="3">
      <x/>
    </i>
    <i r="4">
      <x v="1"/>
    </i>
    <i r="2">
      <x v="1"/>
    </i>
    <i r="3">
      <x v="1"/>
    </i>
    <i r="4">
      <x v="1"/>
    </i>
    <i r="1">
      <x v="9"/>
    </i>
    <i r="2">
      <x/>
    </i>
    <i r="3">
      <x v="1"/>
    </i>
    <i r="4">
      <x v="1"/>
    </i>
    <i r="2">
      <x v="1"/>
    </i>
    <i r="3">
      <x v="1"/>
    </i>
    <i r="4">
      <x/>
    </i>
    <i r="1">
      <x v="10"/>
    </i>
    <i r="2">
      <x/>
    </i>
    <i r="3">
      <x v="1"/>
    </i>
    <i r="4">
      <x v="1"/>
    </i>
    <i r="2">
      <x v="1"/>
    </i>
    <i r="3">
      <x v="1"/>
    </i>
    <i r="4">
      <x/>
    </i>
    <i r="1">
      <x v="11"/>
    </i>
    <i r="2">
      <x/>
    </i>
    <i r="3">
      <x v="1"/>
    </i>
    <i r="4">
      <x v="1"/>
    </i>
    <i r="2">
      <x v="1"/>
    </i>
    <i r="3">
      <x v="1"/>
    </i>
    <i r="4">
      <x v="1"/>
    </i>
    <i>
      <x v="1"/>
    </i>
    <i r="1">
      <x/>
    </i>
    <i r="2">
      <x v="1"/>
    </i>
    <i r="3">
      <x v="1"/>
    </i>
    <i r="4">
      <x/>
    </i>
    <i r="1">
      <x v="1"/>
    </i>
    <i r="2">
      <x v="1"/>
    </i>
    <i r="3">
      <x/>
    </i>
    <i r="4">
      <x v="1"/>
    </i>
    <i r="1">
      <x v="2"/>
    </i>
    <i r="2">
      <x v="1"/>
    </i>
    <i r="3">
      <x v="2"/>
    </i>
    <i r="4">
      <x v="1"/>
    </i>
    <i r="1">
      <x v="3"/>
    </i>
    <i r="2">
      <x/>
    </i>
    <i r="3">
      <x v="1"/>
    </i>
    <i r="4">
      <x v="1"/>
    </i>
    <i r="2">
      <x v="1"/>
    </i>
    <i r="3">
      <x v="1"/>
    </i>
    <i r="4">
      <x/>
    </i>
    <i r="1">
      <x v="4"/>
    </i>
    <i r="2">
      <x/>
    </i>
    <i r="3">
      <x v="1"/>
    </i>
    <i r="4">
      <x v="1"/>
    </i>
    <i r="2">
      <x v="1"/>
    </i>
    <i r="3">
      <x v="1"/>
    </i>
    <i r="4">
      <x/>
    </i>
    <i r="1">
      <x v="5"/>
    </i>
    <i r="2">
      <x v="1"/>
    </i>
    <i r="3">
      <x/>
    </i>
    <i r="4">
      <x/>
    </i>
    <i r="1">
      <x v="6"/>
    </i>
    <i r="2">
      <x v="1"/>
    </i>
    <i r="3">
      <x v="1"/>
    </i>
    <i r="4">
      <x/>
    </i>
    <i r="1">
      <x v="7"/>
    </i>
    <i r="2">
      <x v="1"/>
    </i>
    <i r="3">
      <x v="1"/>
    </i>
    <i r="4">
      <x/>
    </i>
    <i r="1">
      <x v="8"/>
    </i>
    <i r="2">
      <x v="1"/>
    </i>
    <i r="3">
      <x v="1"/>
    </i>
    <i r="4">
      <x/>
    </i>
    <i r="1">
      <x v="9"/>
    </i>
    <i r="2">
      <x v="1"/>
    </i>
    <i r="3">
      <x v="2"/>
    </i>
    <i r="4">
      <x v="1"/>
    </i>
    <i r="1">
      <x v="10"/>
    </i>
    <i r="2">
      <x v="1"/>
    </i>
    <i r="3">
      <x v="2"/>
    </i>
    <i r="4">
      <x v="1"/>
    </i>
    <i r="1">
      <x v="11"/>
    </i>
    <i r="2">
      <x v="1"/>
    </i>
    <i r="3">
      <x/>
    </i>
    <i r="4">
      <x v="1"/>
    </i>
    <i>
      <x v="2"/>
    </i>
    <i r="1">
      <x/>
    </i>
    <i r="2">
      <x v="1"/>
    </i>
    <i r="3">
      <x v="2"/>
    </i>
    <i r="4">
      <x v="1"/>
    </i>
    <i r="1">
      <x v="1"/>
    </i>
    <i r="2">
      <x v="1"/>
    </i>
    <i r="3">
      <x/>
    </i>
    <i r="4">
      <x/>
    </i>
    <i r="1">
      <x v="2"/>
    </i>
    <i r="2">
      <x/>
    </i>
    <i r="3">
      <x/>
    </i>
    <i r="4">
      <x/>
    </i>
    <i r="1">
      <x v="3"/>
    </i>
    <i r="2">
      <x v="1"/>
    </i>
    <i r="3">
      <x v="2"/>
    </i>
    <i r="4">
      <x v="1"/>
    </i>
    <i r="1">
      <x v="4"/>
    </i>
    <i r="2">
      <x v="1"/>
    </i>
    <i r="3">
      <x v="2"/>
    </i>
    <i r="4">
      <x v="1"/>
    </i>
    <i r="1">
      <x v="5"/>
    </i>
    <i r="2">
      <x v="1"/>
    </i>
    <i r="3">
      <x/>
    </i>
    <i r="4">
      <x/>
    </i>
    <i r="1">
      <x v="6"/>
    </i>
    <i r="2">
      <x v="1"/>
    </i>
    <i r="3">
      <x/>
    </i>
    <i r="4">
      <x/>
    </i>
    <i r="1">
      <x v="7"/>
    </i>
    <i r="2">
      <x v="1"/>
    </i>
    <i r="3">
      <x v="2"/>
    </i>
    <i r="4">
      <x v="1"/>
    </i>
    <i r="1">
      <x v="8"/>
    </i>
    <i r="2">
      <x v="1"/>
    </i>
    <i r="3">
      <x/>
    </i>
    <i r="4">
      <x v="1"/>
    </i>
    <i r="1">
      <x v="9"/>
    </i>
    <i r="2">
      <x v="1"/>
    </i>
    <i r="3">
      <x/>
    </i>
    <i r="4">
      <x/>
    </i>
    <i r="1">
      <x v="10"/>
    </i>
    <i r="2">
      <x v="1"/>
    </i>
    <i r="3">
      <x/>
    </i>
    <i r="4">
      <x/>
    </i>
    <i r="1">
      <x v="11"/>
    </i>
    <i r="2">
      <x v="1"/>
    </i>
    <i r="3">
      <x/>
    </i>
    <i r="4">
      <x/>
    </i>
    <i>
      <x v="3"/>
    </i>
    <i r="1">
      <x v="12"/>
    </i>
    <i r="2">
      <x v="2"/>
    </i>
    <i r="3">
      <x v="3"/>
    </i>
    <i r="4">
      <x v="2"/>
    </i>
    <i>
      <x v="4"/>
    </i>
    <i r="1">
      <x v="12"/>
    </i>
    <i r="2">
      <x v="2"/>
    </i>
    <i r="3">
      <x v="3"/>
    </i>
    <i r="4">
      <x v="2"/>
    </i>
    <i>
      <x v="5"/>
    </i>
    <i r="1">
      <x v="12"/>
    </i>
    <i r="2">
      <x v="2"/>
    </i>
    <i r="3">
      <x v="3"/>
    </i>
    <i r="4">
      <x v="2"/>
    </i>
    <i>
      <x v="6"/>
    </i>
    <i r="1">
      <x v="12"/>
    </i>
    <i r="2">
      <x v="2"/>
    </i>
    <i r="3">
      <x v="3"/>
    </i>
    <i r="4">
      <x v="2"/>
    </i>
    <i>
      <x v="7"/>
    </i>
    <i r="1">
      <x v="12"/>
    </i>
    <i r="2">
      <x v="2"/>
    </i>
    <i r="3">
      <x v="3"/>
    </i>
    <i r="4">
      <x v="2"/>
    </i>
    <i>
      <x v="8"/>
    </i>
    <i r="1">
      <x v="12"/>
    </i>
    <i r="2">
      <x v="2"/>
    </i>
    <i r="3">
      <x v="3"/>
    </i>
    <i r="4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ONI Value" fld="2" baseField="0" baseItem="0"/>
    <dataField name="Sum of Rainfall(mm)" fld="3" baseField="0" baseItem="0"/>
    <dataField name="Sum of Temp(c)" fld="4" baseField="0" baseItem="0"/>
    <dataField name="Sum of Humidity(%)" fld="6" baseField="0" baseItem="0"/>
    <dataField name="Sum of Rainy Days" fld="7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5">
    <rowHierarchyUsage hierarchyUsage="0"/>
    <rowHierarchyUsage hierarchyUsage="1"/>
    <rowHierarchyUsage hierarchyUsage="7"/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J$5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ED74-067B-49BE-8F50-CA98CC3C591B}">
  <dimension ref="A3:F223"/>
  <sheetViews>
    <sheetView tabSelected="1" workbookViewId="0">
      <selection activeCell="A3" sqref="A3"/>
    </sheetView>
  </sheetViews>
  <sheetFormatPr defaultRowHeight="14.4" x14ac:dyDescent="0.3"/>
  <cols>
    <col min="1" max="1" width="16.44140625" bestFit="1" customWidth="1"/>
    <col min="2" max="2" width="16" bestFit="1" customWidth="1"/>
    <col min="3" max="3" width="18.5546875" bestFit="1" customWidth="1"/>
    <col min="4" max="4" width="14.5546875" bestFit="1" customWidth="1"/>
    <col min="5" max="5" width="18.109375" bestFit="1" customWidth="1"/>
    <col min="6" max="6" width="16.6640625" bestFit="1" customWidth="1"/>
  </cols>
  <sheetData>
    <row r="3" spans="1:6" x14ac:dyDescent="0.3">
      <c r="A3" s="3" t="s">
        <v>35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</row>
    <row r="4" spans="1:6" x14ac:dyDescent="0.3">
      <c r="A4" s="4" t="s">
        <v>36</v>
      </c>
      <c r="B4" s="6"/>
      <c r="C4" s="6"/>
      <c r="D4" s="6"/>
      <c r="E4" s="6"/>
      <c r="F4" s="6"/>
    </row>
    <row r="5" spans="1:6" x14ac:dyDescent="0.3">
      <c r="A5" s="5" t="s">
        <v>13</v>
      </c>
      <c r="B5" s="6"/>
      <c r="C5" s="6"/>
      <c r="D5" s="6"/>
      <c r="E5" s="6"/>
      <c r="F5" s="6"/>
    </row>
    <row r="6" spans="1:6" x14ac:dyDescent="0.3">
      <c r="A6" s="7" t="s">
        <v>23</v>
      </c>
      <c r="B6" s="6"/>
      <c r="C6" s="6"/>
      <c r="D6" s="6"/>
      <c r="E6" s="6"/>
      <c r="F6" s="6"/>
    </row>
    <row r="7" spans="1:6" x14ac:dyDescent="0.3">
      <c r="A7" s="8" t="s">
        <v>25</v>
      </c>
      <c r="B7" s="6"/>
      <c r="C7" s="6"/>
      <c r="D7" s="6"/>
      <c r="E7" s="6"/>
      <c r="F7" s="6"/>
    </row>
    <row r="8" spans="1:6" x14ac:dyDescent="0.3">
      <c r="A8" s="9" t="s">
        <v>28</v>
      </c>
      <c r="B8" s="6">
        <v>0.7</v>
      </c>
      <c r="C8" s="6">
        <v>220</v>
      </c>
      <c r="D8" s="6">
        <v>22.8</v>
      </c>
      <c r="E8" s="6">
        <v>88</v>
      </c>
      <c r="F8" s="6">
        <v>21</v>
      </c>
    </row>
    <row r="9" spans="1:6" x14ac:dyDescent="0.3">
      <c r="A9" s="7" t="s">
        <v>22</v>
      </c>
      <c r="B9" s="6"/>
      <c r="C9" s="6"/>
      <c r="D9" s="6"/>
      <c r="E9" s="6"/>
      <c r="F9" s="6"/>
    </row>
    <row r="10" spans="1:6" x14ac:dyDescent="0.3">
      <c r="A10" s="8" t="s">
        <v>24</v>
      </c>
      <c r="B10" s="6"/>
      <c r="C10" s="6"/>
      <c r="D10" s="6"/>
      <c r="E10" s="6"/>
      <c r="F10" s="6"/>
    </row>
    <row r="11" spans="1:6" x14ac:dyDescent="0.3">
      <c r="A11" s="9" t="s">
        <v>27</v>
      </c>
      <c r="B11" s="6">
        <v>0.8</v>
      </c>
      <c r="C11" s="6">
        <v>180</v>
      </c>
      <c r="D11" s="6">
        <v>22.5</v>
      </c>
      <c r="E11" s="6">
        <v>84</v>
      </c>
      <c r="F11" s="6">
        <v>18</v>
      </c>
    </row>
    <row r="12" spans="1:6" x14ac:dyDescent="0.3">
      <c r="A12" s="5" t="s">
        <v>17</v>
      </c>
      <c r="B12" s="6"/>
      <c r="C12" s="6"/>
      <c r="D12" s="6"/>
      <c r="E12" s="6"/>
      <c r="F12" s="6"/>
    </row>
    <row r="13" spans="1:6" x14ac:dyDescent="0.3">
      <c r="A13" s="7" t="s">
        <v>23</v>
      </c>
      <c r="B13" s="6"/>
      <c r="C13" s="6"/>
      <c r="D13" s="6"/>
      <c r="E13" s="6"/>
      <c r="F13" s="6"/>
    </row>
    <row r="14" spans="1:6" x14ac:dyDescent="0.3">
      <c r="A14" s="8" t="s">
        <v>24</v>
      </c>
      <c r="B14" s="6"/>
      <c r="C14" s="6"/>
      <c r="D14" s="6"/>
      <c r="E14" s="6"/>
      <c r="F14" s="6"/>
    </row>
    <row r="15" spans="1:6" x14ac:dyDescent="0.3">
      <c r="A15" s="9" t="s">
        <v>27</v>
      </c>
      <c r="B15" s="6">
        <v>1.1000000000000001</v>
      </c>
      <c r="C15" s="6">
        <v>105</v>
      </c>
      <c r="D15" s="6">
        <v>21.8</v>
      </c>
      <c r="E15" s="6">
        <v>76</v>
      </c>
      <c r="F15" s="6">
        <v>9</v>
      </c>
    </row>
    <row r="16" spans="1:6" x14ac:dyDescent="0.3">
      <c r="A16" s="7" t="s">
        <v>22</v>
      </c>
      <c r="B16" s="6"/>
      <c r="C16" s="6"/>
      <c r="D16" s="6"/>
      <c r="E16" s="6"/>
      <c r="F16" s="6"/>
    </row>
    <row r="17" spans="1:6" x14ac:dyDescent="0.3">
      <c r="A17" s="8" t="s">
        <v>24</v>
      </c>
      <c r="B17" s="6"/>
      <c r="C17" s="6"/>
      <c r="D17" s="6"/>
      <c r="E17" s="6"/>
      <c r="F17" s="6"/>
    </row>
    <row r="18" spans="1:6" x14ac:dyDescent="0.3">
      <c r="A18" s="9" t="s">
        <v>27</v>
      </c>
      <c r="B18" s="6">
        <v>1.3</v>
      </c>
      <c r="C18" s="6">
        <v>25</v>
      </c>
      <c r="D18" s="6">
        <v>21</v>
      </c>
      <c r="E18" s="6">
        <v>60</v>
      </c>
      <c r="F18" s="6">
        <v>3</v>
      </c>
    </row>
    <row r="19" spans="1:6" x14ac:dyDescent="0.3">
      <c r="A19" s="5" t="s">
        <v>21</v>
      </c>
      <c r="B19" s="6"/>
      <c r="C19" s="6"/>
      <c r="D19" s="6"/>
      <c r="E19" s="6"/>
      <c r="F19" s="6"/>
    </row>
    <row r="20" spans="1:6" x14ac:dyDescent="0.3">
      <c r="A20" s="7" t="s">
        <v>23</v>
      </c>
      <c r="B20" s="6"/>
      <c r="C20" s="6"/>
      <c r="D20" s="6"/>
      <c r="E20" s="6"/>
      <c r="F20" s="6"/>
    </row>
    <row r="21" spans="1:6" x14ac:dyDescent="0.3">
      <c r="A21" s="8" t="s">
        <v>24</v>
      </c>
      <c r="B21" s="6"/>
      <c r="C21" s="6"/>
      <c r="D21" s="6"/>
      <c r="E21" s="6"/>
      <c r="F21" s="6"/>
    </row>
    <row r="22" spans="1:6" x14ac:dyDescent="0.3">
      <c r="A22" s="9" t="s">
        <v>27</v>
      </c>
      <c r="B22" s="6">
        <v>1.8</v>
      </c>
      <c r="C22" s="6">
        <v>205</v>
      </c>
      <c r="D22" s="6">
        <v>22.4</v>
      </c>
      <c r="E22" s="6">
        <v>87</v>
      </c>
      <c r="F22" s="6">
        <v>7</v>
      </c>
    </row>
    <row r="23" spans="1:6" x14ac:dyDescent="0.3">
      <c r="A23" s="7" t="s">
        <v>22</v>
      </c>
      <c r="B23" s="6"/>
      <c r="C23" s="6"/>
      <c r="D23" s="6"/>
      <c r="E23" s="6"/>
      <c r="F23" s="6"/>
    </row>
    <row r="24" spans="1:6" x14ac:dyDescent="0.3">
      <c r="A24" s="8" t="s">
        <v>24</v>
      </c>
      <c r="B24" s="6"/>
      <c r="C24" s="6"/>
      <c r="D24" s="6"/>
      <c r="E24" s="6"/>
      <c r="F24" s="6"/>
    </row>
    <row r="25" spans="1:6" x14ac:dyDescent="0.3">
      <c r="A25" s="9" t="s">
        <v>28</v>
      </c>
      <c r="B25" s="6">
        <v>2</v>
      </c>
      <c r="C25" s="6">
        <v>160</v>
      </c>
      <c r="D25" s="6">
        <v>22.7</v>
      </c>
      <c r="E25" s="6">
        <v>82</v>
      </c>
      <c r="F25" s="6">
        <v>15</v>
      </c>
    </row>
    <row r="26" spans="1:6" x14ac:dyDescent="0.3">
      <c r="A26" s="5" t="s">
        <v>11</v>
      </c>
      <c r="B26" s="6"/>
      <c r="C26" s="6"/>
      <c r="D26" s="6"/>
      <c r="E26" s="6"/>
      <c r="F26" s="6"/>
    </row>
    <row r="27" spans="1:6" x14ac:dyDescent="0.3">
      <c r="A27" s="7" t="s">
        <v>23</v>
      </c>
      <c r="B27" s="6"/>
      <c r="C27" s="6"/>
      <c r="D27" s="6"/>
      <c r="E27" s="6"/>
      <c r="F27" s="6"/>
    </row>
    <row r="28" spans="1:6" x14ac:dyDescent="0.3">
      <c r="A28" s="8" t="s">
        <v>25</v>
      </c>
      <c r="B28" s="6"/>
      <c r="C28" s="6"/>
      <c r="D28" s="6"/>
      <c r="E28" s="6"/>
      <c r="F28" s="6"/>
    </row>
    <row r="29" spans="1:6" x14ac:dyDescent="0.3">
      <c r="A29" s="9" t="s">
        <v>28</v>
      </c>
      <c r="B29" s="6">
        <v>0.5</v>
      </c>
      <c r="C29" s="6">
        <v>55</v>
      </c>
      <c r="D29" s="6">
        <v>25.2</v>
      </c>
      <c r="E29" s="6">
        <v>69</v>
      </c>
      <c r="F29" s="6">
        <v>5</v>
      </c>
    </row>
    <row r="30" spans="1:6" x14ac:dyDescent="0.3">
      <c r="A30" s="7" t="s">
        <v>22</v>
      </c>
      <c r="B30" s="6"/>
      <c r="C30" s="6"/>
      <c r="D30" s="6"/>
      <c r="E30" s="6"/>
      <c r="F30" s="6"/>
    </row>
    <row r="31" spans="1:6" x14ac:dyDescent="0.3">
      <c r="A31" s="8" t="s">
        <v>24</v>
      </c>
      <c r="B31" s="6"/>
      <c r="C31" s="6"/>
      <c r="D31" s="6"/>
      <c r="E31" s="6"/>
      <c r="F31" s="6"/>
    </row>
    <row r="32" spans="1:6" x14ac:dyDescent="0.3">
      <c r="A32" s="9" t="s">
        <v>27</v>
      </c>
      <c r="B32" s="6">
        <v>0.6</v>
      </c>
      <c r="C32" s="6">
        <v>32</v>
      </c>
      <c r="D32" s="6">
        <v>26.4</v>
      </c>
      <c r="E32" s="6">
        <v>68</v>
      </c>
      <c r="F32" s="6">
        <v>3</v>
      </c>
    </row>
    <row r="33" spans="1:6" x14ac:dyDescent="0.3">
      <c r="A33" s="5" t="s">
        <v>10</v>
      </c>
      <c r="B33" s="6"/>
      <c r="C33" s="6"/>
      <c r="D33" s="6"/>
      <c r="E33" s="6"/>
      <c r="F33" s="6"/>
    </row>
    <row r="34" spans="1:6" x14ac:dyDescent="0.3">
      <c r="A34" s="7" t="s">
        <v>23</v>
      </c>
      <c r="B34" s="6"/>
      <c r="C34" s="6"/>
      <c r="D34" s="6"/>
      <c r="E34" s="6"/>
      <c r="F34" s="6"/>
    </row>
    <row r="35" spans="1:6" x14ac:dyDescent="0.3">
      <c r="A35" s="8" t="s">
        <v>25</v>
      </c>
      <c r="B35" s="6"/>
      <c r="C35" s="6"/>
      <c r="D35" s="6"/>
      <c r="E35" s="6"/>
      <c r="F35" s="6"/>
    </row>
    <row r="36" spans="1:6" x14ac:dyDescent="0.3">
      <c r="A36" s="9" t="s">
        <v>28</v>
      </c>
      <c r="B36" s="6">
        <v>0.7</v>
      </c>
      <c r="C36" s="6">
        <v>60</v>
      </c>
      <c r="D36" s="6">
        <v>24</v>
      </c>
      <c r="E36" s="6">
        <v>72</v>
      </c>
      <c r="F36" s="6">
        <v>6</v>
      </c>
    </row>
    <row r="37" spans="1:6" x14ac:dyDescent="0.3">
      <c r="A37" s="7" t="s">
        <v>22</v>
      </c>
      <c r="B37" s="6"/>
      <c r="C37" s="6"/>
      <c r="D37" s="6"/>
      <c r="E37" s="6"/>
      <c r="F37" s="6"/>
    </row>
    <row r="38" spans="1:6" x14ac:dyDescent="0.3">
      <c r="A38" s="8" t="s">
        <v>24</v>
      </c>
      <c r="B38" s="6"/>
      <c r="C38" s="6"/>
      <c r="D38" s="6"/>
      <c r="E38" s="6"/>
      <c r="F38" s="6"/>
    </row>
    <row r="39" spans="1:6" x14ac:dyDescent="0.3">
      <c r="A39" s="9" t="s">
        <v>27</v>
      </c>
      <c r="B39" s="6">
        <v>0.5</v>
      </c>
      <c r="C39" s="6">
        <v>45</v>
      </c>
      <c r="D39" s="6">
        <v>25.1</v>
      </c>
      <c r="E39" s="6">
        <v>60</v>
      </c>
      <c r="F39" s="6">
        <v>5</v>
      </c>
    </row>
    <row r="40" spans="1:6" x14ac:dyDescent="0.3">
      <c r="A40" s="5" t="s">
        <v>16</v>
      </c>
      <c r="B40" s="6"/>
      <c r="C40" s="6"/>
      <c r="D40" s="6"/>
      <c r="E40" s="6"/>
      <c r="F40" s="6"/>
    </row>
    <row r="41" spans="1:6" x14ac:dyDescent="0.3">
      <c r="A41" s="7" t="s">
        <v>23</v>
      </c>
      <c r="B41" s="6"/>
      <c r="C41" s="6"/>
      <c r="D41" s="6"/>
      <c r="E41" s="6"/>
      <c r="F41" s="6"/>
    </row>
    <row r="42" spans="1:6" x14ac:dyDescent="0.3">
      <c r="A42" s="8" t="s">
        <v>24</v>
      </c>
      <c r="B42" s="6"/>
      <c r="C42" s="6"/>
      <c r="D42" s="6"/>
      <c r="E42" s="6"/>
      <c r="F42" s="6"/>
    </row>
    <row r="43" spans="1:6" x14ac:dyDescent="0.3">
      <c r="A43" s="9" t="s">
        <v>27</v>
      </c>
      <c r="B43" s="6">
        <v>1</v>
      </c>
      <c r="C43" s="6">
        <v>90</v>
      </c>
      <c r="D43" s="6">
        <v>21.4</v>
      </c>
      <c r="E43" s="6">
        <v>74</v>
      </c>
      <c r="F43" s="6">
        <v>8</v>
      </c>
    </row>
    <row r="44" spans="1:6" x14ac:dyDescent="0.3">
      <c r="A44" s="7" t="s">
        <v>22</v>
      </c>
      <c r="B44" s="6"/>
      <c r="C44" s="6"/>
      <c r="D44" s="6"/>
      <c r="E44" s="6"/>
      <c r="F44" s="6"/>
    </row>
    <row r="45" spans="1:6" x14ac:dyDescent="0.3">
      <c r="A45" s="8" t="s">
        <v>24</v>
      </c>
      <c r="B45" s="6"/>
      <c r="C45" s="6"/>
      <c r="D45" s="6"/>
      <c r="E45" s="6"/>
      <c r="F45" s="6"/>
    </row>
    <row r="46" spans="1:6" x14ac:dyDescent="0.3">
      <c r="A46" s="9" t="s">
        <v>27</v>
      </c>
      <c r="B46" s="6">
        <v>1.1000000000000001</v>
      </c>
      <c r="C46" s="6">
        <v>20</v>
      </c>
      <c r="D46" s="6">
        <v>20.5</v>
      </c>
      <c r="E46" s="6">
        <v>58</v>
      </c>
      <c r="F46" s="6">
        <v>2</v>
      </c>
    </row>
    <row r="47" spans="1:6" x14ac:dyDescent="0.3">
      <c r="A47" s="5" t="s">
        <v>15</v>
      </c>
      <c r="B47" s="6"/>
      <c r="C47" s="6"/>
      <c r="D47" s="6"/>
      <c r="E47" s="6"/>
      <c r="F47" s="6"/>
    </row>
    <row r="48" spans="1:6" x14ac:dyDescent="0.3">
      <c r="A48" s="7" t="s">
        <v>23</v>
      </c>
      <c r="B48" s="6"/>
      <c r="C48" s="6"/>
      <c r="D48" s="6"/>
      <c r="E48" s="6"/>
      <c r="F48" s="6"/>
    </row>
    <row r="49" spans="1:6" x14ac:dyDescent="0.3">
      <c r="A49" s="8" t="s">
        <v>25</v>
      </c>
      <c r="B49" s="6"/>
      <c r="C49" s="6"/>
      <c r="D49" s="6"/>
      <c r="E49" s="6"/>
      <c r="F49" s="6"/>
    </row>
    <row r="50" spans="1:6" x14ac:dyDescent="0.3">
      <c r="A50" s="9" t="s">
        <v>27</v>
      </c>
      <c r="B50" s="6">
        <v>0.9</v>
      </c>
      <c r="C50" s="6">
        <v>110</v>
      </c>
      <c r="D50" s="6">
        <v>22</v>
      </c>
      <c r="E50" s="6">
        <v>78</v>
      </c>
      <c r="F50" s="6">
        <v>10</v>
      </c>
    </row>
    <row r="51" spans="1:6" x14ac:dyDescent="0.3">
      <c r="A51" s="7" t="s">
        <v>22</v>
      </c>
      <c r="B51" s="6"/>
      <c r="C51" s="6"/>
      <c r="D51" s="6"/>
      <c r="E51" s="6"/>
      <c r="F51" s="6"/>
    </row>
    <row r="52" spans="1:6" x14ac:dyDescent="0.3">
      <c r="A52" s="8" t="s">
        <v>24</v>
      </c>
      <c r="B52" s="6"/>
      <c r="C52" s="6"/>
      <c r="D52" s="6"/>
      <c r="E52" s="6"/>
      <c r="F52" s="6"/>
    </row>
    <row r="53" spans="1:6" x14ac:dyDescent="0.3">
      <c r="A53" s="9" t="s">
        <v>27</v>
      </c>
      <c r="B53" s="6">
        <v>1</v>
      </c>
      <c r="C53" s="6">
        <v>35</v>
      </c>
      <c r="D53" s="6">
        <v>21.8</v>
      </c>
      <c r="E53" s="6">
        <v>65</v>
      </c>
      <c r="F53" s="6">
        <v>4</v>
      </c>
    </row>
    <row r="54" spans="1:6" x14ac:dyDescent="0.3">
      <c r="A54" s="5" t="s">
        <v>12</v>
      </c>
      <c r="B54" s="6"/>
      <c r="C54" s="6"/>
      <c r="D54" s="6"/>
      <c r="E54" s="6"/>
      <c r="F54" s="6"/>
    </row>
    <row r="55" spans="1:6" x14ac:dyDescent="0.3">
      <c r="A55" s="7" t="s">
        <v>23</v>
      </c>
      <c r="B55" s="6"/>
      <c r="C55" s="6"/>
      <c r="D55" s="6"/>
      <c r="E55" s="6"/>
      <c r="F55" s="6"/>
    </row>
    <row r="56" spans="1:6" x14ac:dyDescent="0.3">
      <c r="A56" s="8" t="s">
        <v>25</v>
      </c>
      <c r="B56" s="6"/>
      <c r="C56" s="6"/>
      <c r="D56" s="6"/>
      <c r="E56" s="6"/>
      <c r="F56" s="6"/>
    </row>
    <row r="57" spans="1:6" x14ac:dyDescent="0.3">
      <c r="A57" s="9" t="s">
        <v>28</v>
      </c>
      <c r="B57" s="6">
        <v>0.6</v>
      </c>
      <c r="C57" s="6">
        <v>160</v>
      </c>
      <c r="D57" s="6">
        <v>24.1</v>
      </c>
      <c r="E57" s="6">
        <v>80</v>
      </c>
      <c r="F57" s="6">
        <v>14</v>
      </c>
    </row>
    <row r="58" spans="1:6" x14ac:dyDescent="0.3">
      <c r="A58" s="7" t="s">
        <v>22</v>
      </c>
      <c r="B58" s="6"/>
      <c r="C58" s="6"/>
      <c r="D58" s="6"/>
      <c r="E58" s="6"/>
      <c r="F58" s="6"/>
    </row>
    <row r="59" spans="1:6" x14ac:dyDescent="0.3">
      <c r="A59" s="8" t="s">
        <v>24</v>
      </c>
      <c r="B59" s="6"/>
      <c r="C59" s="6"/>
      <c r="D59" s="6"/>
      <c r="E59" s="6"/>
      <c r="F59" s="6"/>
    </row>
    <row r="60" spans="1:6" x14ac:dyDescent="0.3">
      <c r="A60" s="9" t="s">
        <v>27</v>
      </c>
      <c r="B60" s="6">
        <v>0.7</v>
      </c>
      <c r="C60" s="6">
        <v>95</v>
      </c>
      <c r="D60" s="6">
        <v>24.8</v>
      </c>
      <c r="E60" s="6">
        <v>75</v>
      </c>
      <c r="F60" s="6">
        <v>10</v>
      </c>
    </row>
    <row r="61" spans="1:6" x14ac:dyDescent="0.3">
      <c r="A61" s="5" t="s">
        <v>14</v>
      </c>
      <c r="B61" s="6"/>
      <c r="C61" s="6"/>
      <c r="D61" s="6"/>
      <c r="E61" s="6"/>
      <c r="F61" s="6"/>
    </row>
    <row r="62" spans="1:6" x14ac:dyDescent="0.3">
      <c r="A62" s="7" t="s">
        <v>23</v>
      </c>
      <c r="B62" s="6"/>
      <c r="C62" s="6"/>
      <c r="D62" s="6"/>
      <c r="E62" s="6"/>
      <c r="F62" s="6"/>
    </row>
    <row r="63" spans="1:6" x14ac:dyDescent="0.3">
      <c r="A63" s="8" t="s">
        <v>25</v>
      </c>
      <c r="B63" s="6"/>
      <c r="C63" s="6"/>
      <c r="D63" s="6"/>
      <c r="E63" s="6"/>
      <c r="F63" s="6"/>
    </row>
    <row r="64" spans="1:6" x14ac:dyDescent="0.3">
      <c r="A64" s="9" t="s">
        <v>27</v>
      </c>
      <c r="B64" s="6">
        <v>0.8</v>
      </c>
      <c r="C64" s="6">
        <v>185</v>
      </c>
      <c r="D64" s="6">
        <v>23.2</v>
      </c>
      <c r="E64" s="6">
        <v>85</v>
      </c>
      <c r="F64" s="6">
        <v>17</v>
      </c>
    </row>
    <row r="65" spans="1:6" x14ac:dyDescent="0.3">
      <c r="A65" s="7" t="s">
        <v>22</v>
      </c>
      <c r="B65" s="6"/>
      <c r="C65" s="6"/>
      <c r="D65" s="6"/>
      <c r="E65" s="6"/>
      <c r="F65" s="6"/>
    </row>
    <row r="66" spans="1:6" x14ac:dyDescent="0.3">
      <c r="A66" s="8" t="s">
        <v>24</v>
      </c>
      <c r="B66" s="6"/>
      <c r="C66" s="6"/>
      <c r="D66" s="6"/>
      <c r="E66" s="6"/>
      <c r="F66" s="6"/>
    </row>
    <row r="67" spans="1:6" x14ac:dyDescent="0.3">
      <c r="A67" s="9" t="s">
        <v>27</v>
      </c>
      <c r="B67" s="6">
        <v>0.9</v>
      </c>
      <c r="C67" s="6">
        <v>140</v>
      </c>
      <c r="D67" s="6">
        <v>23</v>
      </c>
      <c r="E67" s="6">
        <v>80</v>
      </c>
      <c r="F67" s="6">
        <v>14</v>
      </c>
    </row>
    <row r="68" spans="1:6" x14ac:dyDescent="0.3">
      <c r="A68" s="5" t="s">
        <v>20</v>
      </c>
      <c r="B68" s="6"/>
      <c r="C68" s="6"/>
      <c r="D68" s="6"/>
      <c r="E68" s="6"/>
      <c r="F68" s="6"/>
    </row>
    <row r="69" spans="1:6" x14ac:dyDescent="0.3">
      <c r="A69" s="7" t="s">
        <v>23</v>
      </c>
      <c r="B69" s="6"/>
      <c r="C69" s="6"/>
      <c r="D69" s="6"/>
      <c r="E69" s="6"/>
      <c r="F69" s="6"/>
    </row>
    <row r="70" spans="1:6" x14ac:dyDescent="0.3">
      <c r="A70" s="8" t="s">
        <v>24</v>
      </c>
      <c r="B70" s="6"/>
      <c r="C70" s="6"/>
      <c r="D70" s="6"/>
      <c r="E70" s="6"/>
      <c r="F70" s="6"/>
    </row>
    <row r="71" spans="1:6" x14ac:dyDescent="0.3">
      <c r="A71" s="9" t="s">
        <v>27</v>
      </c>
      <c r="B71" s="6">
        <v>1.7</v>
      </c>
      <c r="C71" s="6">
        <v>260</v>
      </c>
      <c r="D71" s="6">
        <v>23.1</v>
      </c>
      <c r="E71" s="6">
        <v>91</v>
      </c>
      <c r="F71" s="6">
        <v>19</v>
      </c>
    </row>
    <row r="72" spans="1:6" x14ac:dyDescent="0.3">
      <c r="A72" s="7" t="s">
        <v>22</v>
      </c>
      <c r="B72" s="6"/>
      <c r="C72" s="6"/>
      <c r="D72" s="6"/>
      <c r="E72" s="6"/>
      <c r="F72" s="6"/>
    </row>
    <row r="73" spans="1:6" x14ac:dyDescent="0.3">
      <c r="A73" s="8" t="s">
        <v>24</v>
      </c>
      <c r="B73" s="6"/>
      <c r="C73" s="6"/>
      <c r="D73" s="6"/>
      <c r="E73" s="6"/>
      <c r="F73" s="6"/>
    </row>
    <row r="74" spans="1:6" x14ac:dyDescent="0.3">
      <c r="A74" s="9" t="s">
        <v>28</v>
      </c>
      <c r="B74" s="6">
        <v>1.9</v>
      </c>
      <c r="C74" s="6">
        <v>210</v>
      </c>
      <c r="D74" s="6">
        <v>22</v>
      </c>
      <c r="E74" s="6">
        <v>88</v>
      </c>
      <c r="F74" s="6">
        <v>20</v>
      </c>
    </row>
    <row r="75" spans="1:6" x14ac:dyDescent="0.3">
      <c r="A75" s="5" t="s">
        <v>19</v>
      </c>
      <c r="B75" s="6"/>
      <c r="C75" s="6"/>
      <c r="D75" s="6"/>
      <c r="E75" s="6"/>
      <c r="F75" s="6"/>
    </row>
    <row r="76" spans="1:6" x14ac:dyDescent="0.3">
      <c r="A76" s="7" t="s">
        <v>23</v>
      </c>
      <c r="B76" s="6"/>
      <c r="C76" s="6"/>
      <c r="D76" s="6"/>
      <c r="E76" s="6"/>
      <c r="F76" s="6"/>
    </row>
    <row r="77" spans="1:6" x14ac:dyDescent="0.3">
      <c r="A77" s="8" t="s">
        <v>24</v>
      </c>
      <c r="B77" s="6"/>
      <c r="C77" s="6"/>
      <c r="D77" s="6"/>
      <c r="E77" s="6"/>
      <c r="F77" s="6"/>
    </row>
    <row r="78" spans="1:6" x14ac:dyDescent="0.3">
      <c r="A78" s="9" t="s">
        <v>27</v>
      </c>
      <c r="B78" s="6">
        <v>1.5</v>
      </c>
      <c r="C78" s="6">
        <v>190</v>
      </c>
      <c r="D78" s="6">
        <v>22.6</v>
      </c>
      <c r="E78" s="6">
        <v>85</v>
      </c>
      <c r="F78" s="6">
        <v>24</v>
      </c>
    </row>
    <row r="79" spans="1:6" x14ac:dyDescent="0.3">
      <c r="A79" s="7" t="s">
        <v>22</v>
      </c>
      <c r="B79" s="6"/>
      <c r="C79" s="6"/>
      <c r="D79" s="6"/>
      <c r="E79" s="6"/>
      <c r="F79" s="6"/>
    </row>
    <row r="80" spans="1:6" x14ac:dyDescent="0.3">
      <c r="A80" s="8" t="s">
        <v>24</v>
      </c>
      <c r="B80" s="6"/>
      <c r="C80" s="6"/>
      <c r="D80" s="6"/>
      <c r="E80" s="6"/>
      <c r="F80" s="6"/>
    </row>
    <row r="81" spans="1:6" x14ac:dyDescent="0.3">
      <c r="A81" s="9" t="s">
        <v>28</v>
      </c>
      <c r="B81" s="6">
        <v>1.7</v>
      </c>
      <c r="C81" s="6">
        <v>90</v>
      </c>
      <c r="D81" s="6">
        <v>23.5</v>
      </c>
      <c r="E81" s="6">
        <v>72</v>
      </c>
      <c r="F81" s="6">
        <v>9</v>
      </c>
    </row>
    <row r="82" spans="1:6" x14ac:dyDescent="0.3">
      <c r="A82" s="5" t="s">
        <v>18</v>
      </c>
      <c r="B82" s="6"/>
      <c r="C82" s="6"/>
      <c r="D82" s="6"/>
      <c r="E82" s="6"/>
      <c r="F82" s="6"/>
    </row>
    <row r="83" spans="1:6" x14ac:dyDescent="0.3">
      <c r="A83" s="7" t="s">
        <v>23</v>
      </c>
      <c r="B83" s="6"/>
      <c r="C83" s="6"/>
      <c r="D83" s="6"/>
      <c r="E83" s="6"/>
      <c r="F83" s="6"/>
    </row>
    <row r="84" spans="1:6" x14ac:dyDescent="0.3">
      <c r="A84" s="8" t="s">
        <v>24</v>
      </c>
      <c r="B84" s="6"/>
      <c r="C84" s="6"/>
      <c r="D84" s="6"/>
      <c r="E84" s="6"/>
      <c r="F84" s="6"/>
    </row>
    <row r="85" spans="1:6" x14ac:dyDescent="0.3">
      <c r="A85" s="9" t="s">
        <v>27</v>
      </c>
      <c r="B85" s="6">
        <v>1.3</v>
      </c>
      <c r="C85" s="6">
        <v>130</v>
      </c>
      <c r="D85" s="6">
        <v>22.8</v>
      </c>
      <c r="E85" s="6">
        <v>79</v>
      </c>
      <c r="F85" s="6">
        <v>11</v>
      </c>
    </row>
    <row r="86" spans="1:6" x14ac:dyDescent="0.3">
      <c r="A86" s="7" t="s">
        <v>22</v>
      </c>
      <c r="B86" s="6"/>
      <c r="C86" s="6"/>
      <c r="D86" s="6"/>
      <c r="E86" s="6"/>
      <c r="F86" s="6"/>
    </row>
    <row r="87" spans="1:6" x14ac:dyDescent="0.3">
      <c r="A87" s="8" t="s">
        <v>24</v>
      </c>
      <c r="B87" s="6"/>
      <c r="C87" s="6"/>
      <c r="D87" s="6"/>
      <c r="E87" s="6"/>
      <c r="F87" s="6"/>
    </row>
    <row r="88" spans="1:6" x14ac:dyDescent="0.3">
      <c r="A88" s="9" t="s">
        <v>27</v>
      </c>
      <c r="B88" s="6">
        <v>1.5</v>
      </c>
      <c r="C88" s="6">
        <v>30</v>
      </c>
      <c r="D88" s="6">
        <v>22.4</v>
      </c>
      <c r="E88" s="6">
        <v>62</v>
      </c>
      <c r="F88" s="6">
        <v>3</v>
      </c>
    </row>
    <row r="89" spans="1:6" x14ac:dyDescent="0.3">
      <c r="A89" s="4" t="s">
        <v>37</v>
      </c>
      <c r="B89" s="6"/>
      <c r="C89" s="6"/>
      <c r="D89" s="6"/>
      <c r="E89" s="6"/>
      <c r="F89" s="6"/>
    </row>
    <row r="90" spans="1:6" x14ac:dyDescent="0.3">
      <c r="A90" s="5" t="s">
        <v>13</v>
      </c>
      <c r="B90" s="6"/>
      <c r="C90" s="6"/>
      <c r="D90" s="6"/>
      <c r="E90" s="6"/>
      <c r="F90" s="6"/>
    </row>
    <row r="91" spans="1:6" x14ac:dyDescent="0.3">
      <c r="A91" s="7" t="s">
        <v>22</v>
      </c>
      <c r="B91" s="6"/>
      <c r="C91" s="6"/>
      <c r="D91" s="6"/>
      <c r="E91" s="6"/>
      <c r="F91" s="6"/>
    </row>
    <row r="92" spans="1:6" x14ac:dyDescent="0.3">
      <c r="A92" s="8" t="s">
        <v>24</v>
      </c>
      <c r="B92" s="6"/>
      <c r="C92" s="6"/>
      <c r="D92" s="6"/>
      <c r="E92" s="6"/>
      <c r="F92" s="6"/>
    </row>
    <row r="93" spans="1:6" x14ac:dyDescent="0.3">
      <c r="A93" s="9" t="s">
        <v>28</v>
      </c>
      <c r="B93" s="6">
        <v>1.2</v>
      </c>
      <c r="C93" s="6">
        <v>190</v>
      </c>
      <c r="D93" s="6">
        <v>22.1</v>
      </c>
      <c r="E93" s="6">
        <v>86</v>
      </c>
      <c r="F93" s="6">
        <v>19</v>
      </c>
    </row>
    <row r="94" spans="1:6" x14ac:dyDescent="0.3">
      <c r="A94" s="5" t="s">
        <v>17</v>
      </c>
      <c r="B94" s="6"/>
      <c r="C94" s="6"/>
      <c r="D94" s="6"/>
      <c r="E94" s="6"/>
      <c r="F94" s="6"/>
    </row>
    <row r="95" spans="1:6" x14ac:dyDescent="0.3">
      <c r="A95" s="7" t="s">
        <v>22</v>
      </c>
      <c r="B95" s="6"/>
      <c r="C95" s="6"/>
      <c r="D95" s="6"/>
      <c r="E95" s="6"/>
      <c r="F95" s="6"/>
    </row>
    <row r="96" spans="1:6" x14ac:dyDescent="0.3">
      <c r="A96" s="8" t="s">
        <v>25</v>
      </c>
      <c r="B96" s="6"/>
      <c r="C96" s="6"/>
      <c r="D96" s="6"/>
      <c r="E96" s="6"/>
      <c r="F96" s="6"/>
    </row>
    <row r="97" spans="1:6" x14ac:dyDescent="0.3">
      <c r="A97" s="9" t="s">
        <v>27</v>
      </c>
      <c r="B97" s="6">
        <v>0.1</v>
      </c>
      <c r="C97" s="6">
        <v>22</v>
      </c>
      <c r="D97" s="6">
        <v>20.8</v>
      </c>
      <c r="E97" s="6">
        <v>58</v>
      </c>
      <c r="F97" s="6">
        <v>2</v>
      </c>
    </row>
    <row r="98" spans="1:6" x14ac:dyDescent="0.3">
      <c r="A98" s="5" t="s">
        <v>21</v>
      </c>
      <c r="B98" s="6"/>
      <c r="C98" s="6"/>
      <c r="D98" s="6"/>
      <c r="E98" s="6"/>
      <c r="F98" s="6"/>
    </row>
    <row r="99" spans="1:6" x14ac:dyDescent="0.3">
      <c r="A99" s="7" t="s">
        <v>22</v>
      </c>
      <c r="B99" s="6"/>
      <c r="C99" s="6"/>
      <c r="D99" s="6"/>
      <c r="E99" s="6"/>
      <c r="F99" s="6"/>
    </row>
    <row r="100" spans="1:6" x14ac:dyDescent="0.3">
      <c r="A100" s="8" t="s">
        <v>26</v>
      </c>
      <c r="B100" s="6"/>
      <c r="C100" s="6"/>
      <c r="D100" s="6"/>
      <c r="E100" s="6"/>
      <c r="F100" s="6"/>
    </row>
    <row r="101" spans="1:6" x14ac:dyDescent="0.3">
      <c r="A101" s="9" t="s">
        <v>27</v>
      </c>
      <c r="B101" s="6">
        <v>-0.8</v>
      </c>
      <c r="C101" s="6">
        <v>130</v>
      </c>
      <c r="D101" s="6">
        <v>22.5</v>
      </c>
      <c r="E101" s="6">
        <v>80</v>
      </c>
      <c r="F101" s="6">
        <v>13</v>
      </c>
    </row>
    <row r="102" spans="1:6" x14ac:dyDescent="0.3">
      <c r="A102" s="5" t="s">
        <v>11</v>
      </c>
      <c r="B102" s="6"/>
      <c r="C102" s="6"/>
      <c r="D102" s="6"/>
      <c r="E102" s="6"/>
      <c r="F102" s="6"/>
    </row>
    <row r="103" spans="1:6" x14ac:dyDescent="0.3">
      <c r="A103" s="7" t="s">
        <v>23</v>
      </c>
      <c r="B103" s="6"/>
      <c r="C103" s="6"/>
      <c r="D103" s="6"/>
      <c r="E103" s="6"/>
      <c r="F103" s="6"/>
    </row>
    <row r="104" spans="1:6" x14ac:dyDescent="0.3">
      <c r="A104" s="8" t="s">
        <v>24</v>
      </c>
      <c r="B104" s="6"/>
      <c r="C104" s="6"/>
      <c r="D104" s="6"/>
      <c r="E104" s="6"/>
      <c r="F104" s="6"/>
    </row>
    <row r="105" spans="1:6" x14ac:dyDescent="0.3">
      <c r="A105" s="9" t="s">
        <v>27</v>
      </c>
      <c r="B105" s="6">
        <v>1.4</v>
      </c>
      <c r="C105" s="6">
        <v>65</v>
      </c>
      <c r="D105" s="6">
        <v>24.5</v>
      </c>
      <c r="E105" s="6">
        <v>70</v>
      </c>
      <c r="F105" s="6">
        <v>15</v>
      </c>
    </row>
    <row r="106" spans="1:6" x14ac:dyDescent="0.3">
      <c r="A106" s="7" t="s">
        <v>22</v>
      </c>
      <c r="B106" s="6"/>
      <c r="C106" s="6"/>
      <c r="D106" s="6"/>
      <c r="E106" s="6"/>
      <c r="F106" s="6"/>
    </row>
    <row r="107" spans="1:6" x14ac:dyDescent="0.3">
      <c r="A107" s="8" t="s">
        <v>24</v>
      </c>
      <c r="B107" s="6"/>
      <c r="C107" s="6"/>
      <c r="D107" s="6"/>
      <c r="E107" s="6"/>
      <c r="F107" s="6"/>
    </row>
    <row r="108" spans="1:6" x14ac:dyDescent="0.3">
      <c r="A108" s="9" t="s">
        <v>28</v>
      </c>
      <c r="B108" s="6">
        <v>1.6</v>
      </c>
      <c r="C108" s="6">
        <v>28</v>
      </c>
      <c r="D108" s="6">
        <v>26</v>
      </c>
      <c r="E108" s="6">
        <v>59</v>
      </c>
      <c r="F108" s="6">
        <v>3</v>
      </c>
    </row>
    <row r="109" spans="1:6" x14ac:dyDescent="0.3">
      <c r="A109" s="5" t="s">
        <v>10</v>
      </c>
      <c r="B109" s="6"/>
      <c r="C109" s="6"/>
      <c r="D109" s="6"/>
      <c r="E109" s="6"/>
      <c r="F109" s="6"/>
    </row>
    <row r="110" spans="1:6" x14ac:dyDescent="0.3">
      <c r="A110" s="7" t="s">
        <v>23</v>
      </c>
      <c r="B110" s="6"/>
      <c r="C110" s="6"/>
      <c r="D110" s="6"/>
      <c r="E110" s="6"/>
      <c r="F110" s="6"/>
    </row>
    <row r="111" spans="1:6" x14ac:dyDescent="0.3">
      <c r="A111" s="8" t="s">
        <v>24</v>
      </c>
      <c r="B111" s="6"/>
      <c r="C111" s="6"/>
      <c r="D111" s="6"/>
      <c r="E111" s="6"/>
      <c r="F111" s="6"/>
    </row>
    <row r="112" spans="1:6" x14ac:dyDescent="0.3">
      <c r="A112" s="9" t="s">
        <v>27</v>
      </c>
      <c r="B112" s="6">
        <v>1.6</v>
      </c>
      <c r="C112" s="6">
        <v>75</v>
      </c>
      <c r="D112" s="6">
        <v>22.9</v>
      </c>
      <c r="E112" s="6">
        <v>73</v>
      </c>
      <c r="F112" s="6">
        <v>6</v>
      </c>
    </row>
    <row r="113" spans="1:6" x14ac:dyDescent="0.3">
      <c r="A113" s="7" t="s">
        <v>22</v>
      </c>
      <c r="B113" s="6"/>
      <c r="C113" s="6"/>
      <c r="D113" s="6"/>
      <c r="E113" s="6"/>
      <c r="F113" s="6"/>
    </row>
    <row r="114" spans="1:6" x14ac:dyDescent="0.3">
      <c r="A114" s="8" t="s">
        <v>24</v>
      </c>
      <c r="B114" s="6"/>
      <c r="C114" s="6"/>
      <c r="D114" s="6"/>
      <c r="E114" s="6"/>
      <c r="F114" s="6"/>
    </row>
    <row r="115" spans="1:6" x14ac:dyDescent="0.3">
      <c r="A115" s="9" t="s">
        <v>28</v>
      </c>
      <c r="B115" s="6">
        <v>1.8</v>
      </c>
      <c r="C115" s="6">
        <v>50</v>
      </c>
      <c r="D115" s="6">
        <v>25.3</v>
      </c>
      <c r="E115" s="6">
        <v>67</v>
      </c>
      <c r="F115" s="6">
        <v>5</v>
      </c>
    </row>
    <row r="116" spans="1:6" x14ac:dyDescent="0.3">
      <c r="A116" s="5" t="s">
        <v>16</v>
      </c>
      <c r="B116" s="6"/>
      <c r="C116" s="6"/>
      <c r="D116" s="6"/>
      <c r="E116" s="6"/>
      <c r="F116" s="6"/>
    </row>
    <row r="117" spans="1:6" x14ac:dyDescent="0.3">
      <c r="A117" s="7" t="s">
        <v>22</v>
      </c>
      <c r="B117" s="6"/>
      <c r="C117" s="6"/>
      <c r="D117" s="6"/>
      <c r="E117" s="6"/>
      <c r="F117" s="6"/>
    </row>
    <row r="118" spans="1:6" x14ac:dyDescent="0.3">
      <c r="A118" s="8" t="s">
        <v>25</v>
      </c>
      <c r="B118" s="6"/>
      <c r="C118" s="6"/>
      <c r="D118" s="6"/>
      <c r="E118" s="6"/>
      <c r="F118" s="6"/>
    </row>
    <row r="119" spans="1:6" x14ac:dyDescent="0.3">
      <c r="A119" s="9" t="s">
        <v>28</v>
      </c>
      <c r="B119" s="6">
        <v>0.3</v>
      </c>
      <c r="C119" s="6">
        <v>18</v>
      </c>
      <c r="D119" s="6">
        <v>20</v>
      </c>
      <c r="E119" s="6">
        <v>57</v>
      </c>
      <c r="F119" s="6">
        <v>2</v>
      </c>
    </row>
    <row r="120" spans="1:6" x14ac:dyDescent="0.3">
      <c r="A120" s="5" t="s">
        <v>15</v>
      </c>
      <c r="B120" s="6"/>
      <c r="C120" s="6"/>
      <c r="D120" s="6"/>
      <c r="E120" s="6"/>
      <c r="F120" s="6"/>
    </row>
    <row r="121" spans="1:6" x14ac:dyDescent="0.3">
      <c r="A121" s="7" t="s">
        <v>22</v>
      </c>
      <c r="B121" s="6"/>
      <c r="C121" s="6"/>
      <c r="D121" s="6"/>
      <c r="E121" s="6"/>
      <c r="F121" s="6"/>
    </row>
    <row r="122" spans="1:6" x14ac:dyDescent="0.3">
      <c r="A122" s="8" t="s">
        <v>24</v>
      </c>
      <c r="B122" s="6"/>
      <c r="C122" s="6"/>
      <c r="D122" s="6"/>
      <c r="E122" s="6"/>
      <c r="F122" s="6"/>
    </row>
    <row r="123" spans="1:6" x14ac:dyDescent="0.3">
      <c r="A123" s="9" t="s">
        <v>28</v>
      </c>
      <c r="B123" s="6">
        <v>0.6</v>
      </c>
      <c r="C123" s="6">
        <v>140</v>
      </c>
      <c r="D123" s="6">
        <v>21.5</v>
      </c>
      <c r="E123" s="6">
        <v>64</v>
      </c>
      <c r="F123" s="6">
        <v>4</v>
      </c>
    </row>
    <row r="124" spans="1:6" x14ac:dyDescent="0.3">
      <c r="A124" s="5" t="s">
        <v>12</v>
      </c>
      <c r="B124" s="6"/>
      <c r="C124" s="6"/>
      <c r="D124" s="6"/>
      <c r="E124" s="6"/>
      <c r="F124" s="6"/>
    </row>
    <row r="125" spans="1:6" x14ac:dyDescent="0.3">
      <c r="A125" s="7" t="s">
        <v>22</v>
      </c>
      <c r="B125" s="6"/>
      <c r="C125" s="6"/>
      <c r="D125" s="6"/>
      <c r="E125" s="6"/>
      <c r="F125" s="6"/>
    </row>
    <row r="126" spans="1:6" x14ac:dyDescent="0.3">
      <c r="A126" s="8" t="s">
        <v>24</v>
      </c>
      <c r="B126" s="6"/>
      <c r="C126" s="6"/>
      <c r="D126" s="6"/>
      <c r="E126" s="6"/>
      <c r="F126" s="6"/>
    </row>
    <row r="127" spans="1:6" x14ac:dyDescent="0.3">
      <c r="A127" s="9" t="s">
        <v>28</v>
      </c>
      <c r="B127" s="6">
        <v>1.4</v>
      </c>
      <c r="C127" s="6">
        <v>120</v>
      </c>
      <c r="D127" s="6">
        <v>24.2</v>
      </c>
      <c r="E127" s="6">
        <v>78</v>
      </c>
      <c r="F127" s="6">
        <v>12</v>
      </c>
    </row>
    <row r="128" spans="1:6" x14ac:dyDescent="0.3">
      <c r="A128" s="5" t="s">
        <v>14</v>
      </c>
      <c r="B128" s="6"/>
      <c r="C128" s="6"/>
      <c r="D128" s="6"/>
      <c r="E128" s="6"/>
      <c r="F128" s="6"/>
    </row>
    <row r="129" spans="1:6" x14ac:dyDescent="0.3">
      <c r="A129" s="7" t="s">
        <v>22</v>
      </c>
      <c r="B129" s="6"/>
      <c r="C129" s="6"/>
      <c r="D129" s="6"/>
      <c r="E129" s="6"/>
      <c r="F129" s="6"/>
    </row>
    <row r="130" spans="1:6" x14ac:dyDescent="0.3">
      <c r="A130" s="8" t="s">
        <v>24</v>
      </c>
      <c r="B130" s="6"/>
      <c r="C130" s="6"/>
      <c r="D130" s="6"/>
      <c r="E130" s="6"/>
      <c r="F130" s="6"/>
    </row>
    <row r="131" spans="1:6" x14ac:dyDescent="0.3">
      <c r="A131" s="9" t="s">
        <v>28</v>
      </c>
      <c r="B131" s="6">
        <v>0.9</v>
      </c>
      <c r="C131" s="6">
        <v>155</v>
      </c>
      <c r="D131" s="6">
        <v>22.9</v>
      </c>
      <c r="E131" s="6">
        <v>83</v>
      </c>
      <c r="F131" s="6">
        <v>15</v>
      </c>
    </row>
    <row r="132" spans="1:6" x14ac:dyDescent="0.3">
      <c r="A132" s="5" t="s">
        <v>20</v>
      </c>
      <c r="B132" s="6"/>
      <c r="C132" s="6"/>
      <c r="D132" s="6"/>
      <c r="E132" s="6"/>
      <c r="F132" s="6"/>
    </row>
    <row r="133" spans="1:6" x14ac:dyDescent="0.3">
      <c r="A133" s="7" t="s">
        <v>22</v>
      </c>
      <c r="B133" s="6"/>
      <c r="C133" s="6"/>
      <c r="D133" s="6"/>
      <c r="E133" s="6"/>
      <c r="F133" s="6"/>
    </row>
    <row r="134" spans="1:6" x14ac:dyDescent="0.3">
      <c r="A134" s="8" t="s">
        <v>26</v>
      </c>
      <c r="B134" s="6"/>
      <c r="C134" s="6"/>
      <c r="D134" s="6"/>
      <c r="E134" s="6"/>
      <c r="F134" s="6"/>
    </row>
    <row r="135" spans="1:6" x14ac:dyDescent="0.3">
      <c r="A135" s="9" t="s">
        <v>27</v>
      </c>
      <c r="B135" s="6">
        <v>-0.6</v>
      </c>
      <c r="C135" s="6">
        <v>175</v>
      </c>
      <c r="D135" s="6">
        <v>21.9</v>
      </c>
      <c r="E135" s="6">
        <v>85</v>
      </c>
      <c r="F135" s="6">
        <v>17</v>
      </c>
    </row>
    <row r="136" spans="1:6" x14ac:dyDescent="0.3">
      <c r="A136" s="5" t="s">
        <v>19</v>
      </c>
      <c r="B136" s="6"/>
      <c r="C136" s="6"/>
      <c r="D136" s="6"/>
      <c r="E136" s="6"/>
      <c r="F136" s="6"/>
    </row>
    <row r="137" spans="1:6" x14ac:dyDescent="0.3">
      <c r="A137" s="7" t="s">
        <v>22</v>
      </c>
      <c r="B137" s="6"/>
      <c r="C137" s="6"/>
      <c r="D137" s="6"/>
      <c r="E137" s="6"/>
      <c r="F137" s="6"/>
    </row>
    <row r="138" spans="1:6" x14ac:dyDescent="0.3">
      <c r="A138" s="8" t="s">
        <v>26</v>
      </c>
      <c r="B138" s="6"/>
      <c r="C138" s="6"/>
      <c r="D138" s="6"/>
      <c r="E138" s="6"/>
      <c r="F138" s="6"/>
    </row>
    <row r="139" spans="1:6" x14ac:dyDescent="0.3">
      <c r="A139" s="9" t="s">
        <v>27</v>
      </c>
      <c r="B139" s="6">
        <v>-0.4</v>
      </c>
      <c r="C139" s="6">
        <v>105</v>
      </c>
      <c r="D139" s="6">
        <v>23</v>
      </c>
      <c r="E139" s="6">
        <v>74</v>
      </c>
      <c r="F139" s="6">
        <v>10</v>
      </c>
    </row>
    <row r="140" spans="1:6" x14ac:dyDescent="0.3">
      <c r="A140" s="5" t="s">
        <v>18</v>
      </c>
      <c r="B140" s="6"/>
      <c r="C140" s="6"/>
      <c r="D140" s="6"/>
      <c r="E140" s="6"/>
      <c r="F140" s="6"/>
    </row>
    <row r="141" spans="1:6" x14ac:dyDescent="0.3">
      <c r="A141" s="7" t="s">
        <v>22</v>
      </c>
      <c r="B141" s="6"/>
      <c r="C141" s="6"/>
      <c r="D141" s="6"/>
      <c r="E141" s="6"/>
      <c r="F141" s="6"/>
    </row>
    <row r="142" spans="1:6" x14ac:dyDescent="0.3">
      <c r="A142" s="8" t="s">
        <v>25</v>
      </c>
      <c r="B142" s="6"/>
      <c r="C142" s="6"/>
      <c r="D142" s="6"/>
      <c r="E142" s="6"/>
      <c r="F142" s="6"/>
    </row>
    <row r="143" spans="1:6" x14ac:dyDescent="0.3">
      <c r="A143" s="9" t="s">
        <v>27</v>
      </c>
      <c r="B143" s="6">
        <v>-0.2</v>
      </c>
      <c r="C143" s="6">
        <v>35</v>
      </c>
      <c r="D143" s="6">
        <v>22.2</v>
      </c>
      <c r="E143" s="6">
        <v>63</v>
      </c>
      <c r="F143" s="6">
        <v>4</v>
      </c>
    </row>
    <row r="144" spans="1:6" x14ac:dyDescent="0.3">
      <c r="A144" s="4" t="s">
        <v>38</v>
      </c>
      <c r="B144" s="6"/>
      <c r="C144" s="6"/>
      <c r="D144" s="6"/>
      <c r="E144" s="6"/>
      <c r="F144" s="6"/>
    </row>
    <row r="145" spans="1:6" x14ac:dyDescent="0.3">
      <c r="A145" s="5" t="s">
        <v>13</v>
      </c>
      <c r="B145" s="6"/>
      <c r="C145" s="6"/>
      <c r="D145" s="6"/>
      <c r="E145" s="6"/>
      <c r="F145" s="6"/>
    </row>
    <row r="146" spans="1:6" x14ac:dyDescent="0.3">
      <c r="A146" s="7" t="s">
        <v>22</v>
      </c>
      <c r="B146" s="6"/>
      <c r="C146" s="6"/>
      <c r="D146" s="6"/>
      <c r="E146" s="6"/>
      <c r="F146" s="6"/>
    </row>
    <row r="147" spans="1:6" x14ac:dyDescent="0.3">
      <c r="A147" s="8" t="s">
        <v>26</v>
      </c>
      <c r="B147" s="6"/>
      <c r="C147" s="6"/>
      <c r="D147" s="6"/>
      <c r="E147" s="6"/>
      <c r="F147" s="6"/>
    </row>
    <row r="148" spans="1:6" x14ac:dyDescent="0.3">
      <c r="A148" s="9" t="s">
        <v>27</v>
      </c>
      <c r="B148" s="6">
        <v>-0.4</v>
      </c>
      <c r="C148" s="6">
        <v>165</v>
      </c>
      <c r="D148" s="6">
        <v>22.3</v>
      </c>
      <c r="E148" s="6">
        <v>83</v>
      </c>
      <c r="F148" s="6">
        <v>17</v>
      </c>
    </row>
    <row r="149" spans="1:6" x14ac:dyDescent="0.3">
      <c r="A149" s="5" t="s">
        <v>17</v>
      </c>
      <c r="B149" s="6"/>
      <c r="C149" s="6"/>
      <c r="D149" s="6"/>
      <c r="E149" s="6"/>
      <c r="F149" s="6"/>
    </row>
    <row r="150" spans="1:6" x14ac:dyDescent="0.3">
      <c r="A150" s="7" t="s">
        <v>22</v>
      </c>
      <c r="B150" s="6"/>
      <c r="C150" s="6"/>
      <c r="D150" s="6"/>
      <c r="E150" s="6"/>
      <c r="F150" s="6"/>
    </row>
    <row r="151" spans="1:6" x14ac:dyDescent="0.3">
      <c r="A151" s="8" t="s">
        <v>25</v>
      </c>
      <c r="B151" s="6"/>
      <c r="C151" s="6"/>
      <c r="D151" s="6"/>
      <c r="E151" s="6"/>
      <c r="F151" s="6"/>
    </row>
    <row r="152" spans="1:6" x14ac:dyDescent="0.3">
      <c r="A152" s="9" t="s">
        <v>28</v>
      </c>
      <c r="B152" s="6">
        <v>0.2</v>
      </c>
      <c r="C152" s="6">
        <v>24</v>
      </c>
      <c r="D152" s="6">
        <v>21.1</v>
      </c>
      <c r="E152" s="6">
        <v>59</v>
      </c>
      <c r="F152" s="6">
        <v>3</v>
      </c>
    </row>
    <row r="153" spans="1:6" x14ac:dyDescent="0.3">
      <c r="A153" s="5" t="s">
        <v>21</v>
      </c>
      <c r="B153" s="6"/>
      <c r="C153" s="6"/>
      <c r="D153" s="6"/>
      <c r="E153" s="6"/>
      <c r="F153" s="6"/>
    </row>
    <row r="154" spans="1:6" x14ac:dyDescent="0.3">
      <c r="A154" s="7" t="s">
        <v>23</v>
      </c>
      <c r="B154" s="6"/>
      <c r="C154" s="6"/>
      <c r="D154" s="6"/>
      <c r="E154" s="6"/>
      <c r="F154" s="6"/>
    </row>
    <row r="155" spans="1:6" x14ac:dyDescent="0.3">
      <c r="A155" s="8" t="s">
        <v>25</v>
      </c>
      <c r="B155" s="6"/>
      <c r="C155" s="6"/>
      <c r="D155" s="6"/>
      <c r="E155" s="6"/>
      <c r="F155" s="6"/>
    </row>
    <row r="156" spans="1:6" x14ac:dyDescent="0.3">
      <c r="A156" s="9" t="s">
        <v>28</v>
      </c>
      <c r="B156" s="6">
        <v>0.6</v>
      </c>
      <c r="C156" s="6">
        <v>145</v>
      </c>
      <c r="D156" s="6">
        <v>22.8</v>
      </c>
      <c r="E156" s="6">
        <v>81</v>
      </c>
      <c r="F156" s="6">
        <v>14</v>
      </c>
    </row>
    <row r="157" spans="1:6" x14ac:dyDescent="0.3">
      <c r="A157" s="5" t="s">
        <v>11</v>
      </c>
      <c r="B157" s="6"/>
      <c r="C157" s="6"/>
      <c r="D157" s="6"/>
      <c r="E157" s="6"/>
      <c r="F157" s="6"/>
    </row>
    <row r="158" spans="1:6" x14ac:dyDescent="0.3">
      <c r="A158" s="7" t="s">
        <v>22</v>
      </c>
      <c r="B158" s="6"/>
      <c r="C158" s="6"/>
      <c r="D158" s="6"/>
      <c r="E158" s="6"/>
      <c r="F158" s="6"/>
    </row>
    <row r="159" spans="1:6" x14ac:dyDescent="0.3">
      <c r="A159" s="8" t="s">
        <v>26</v>
      </c>
      <c r="B159" s="6"/>
      <c r="C159" s="6"/>
      <c r="D159" s="6"/>
      <c r="E159" s="6"/>
      <c r="F159" s="6"/>
    </row>
    <row r="160" spans="1:6" x14ac:dyDescent="0.3">
      <c r="A160" s="9" t="s">
        <v>27</v>
      </c>
      <c r="B160" s="6">
        <v>-0.6</v>
      </c>
      <c r="C160" s="6">
        <v>30</v>
      </c>
      <c r="D160" s="6">
        <v>26.2</v>
      </c>
      <c r="E160" s="6">
        <v>60</v>
      </c>
      <c r="F160" s="6">
        <v>3</v>
      </c>
    </row>
    <row r="161" spans="1:6" x14ac:dyDescent="0.3">
      <c r="A161" s="5" t="s">
        <v>10</v>
      </c>
      <c r="B161" s="6"/>
      <c r="C161" s="6"/>
      <c r="D161" s="6"/>
      <c r="E161" s="6"/>
      <c r="F161" s="6"/>
    </row>
    <row r="162" spans="1:6" x14ac:dyDescent="0.3">
      <c r="A162" s="7" t="s">
        <v>22</v>
      </c>
      <c r="B162" s="6"/>
      <c r="C162" s="6"/>
      <c r="D162" s="6"/>
      <c r="E162" s="6"/>
      <c r="F162" s="6"/>
    </row>
    <row r="163" spans="1:6" x14ac:dyDescent="0.3">
      <c r="A163" s="8" t="s">
        <v>26</v>
      </c>
      <c r="B163" s="6"/>
      <c r="C163" s="6"/>
      <c r="D163" s="6"/>
      <c r="E163" s="6"/>
      <c r="F163" s="6"/>
    </row>
    <row r="164" spans="1:6" x14ac:dyDescent="0.3">
      <c r="A164" s="9" t="s">
        <v>27</v>
      </c>
      <c r="B164" s="6">
        <v>-0.7</v>
      </c>
      <c r="C164" s="6">
        <v>42</v>
      </c>
      <c r="D164" s="6">
        <v>25</v>
      </c>
      <c r="E164" s="6">
        <v>6</v>
      </c>
      <c r="F164" s="6">
        <v>4</v>
      </c>
    </row>
    <row r="165" spans="1:6" x14ac:dyDescent="0.3">
      <c r="A165" s="5" t="s">
        <v>16</v>
      </c>
      <c r="B165" s="6"/>
      <c r="C165" s="6"/>
      <c r="D165" s="6"/>
      <c r="E165" s="6"/>
      <c r="F165" s="6"/>
    </row>
    <row r="166" spans="1:6" x14ac:dyDescent="0.3">
      <c r="A166" s="7" t="s">
        <v>22</v>
      </c>
      <c r="B166" s="6"/>
      <c r="C166" s="6"/>
      <c r="D166" s="6"/>
      <c r="E166" s="6"/>
      <c r="F166" s="6"/>
    </row>
    <row r="167" spans="1:6" x14ac:dyDescent="0.3">
      <c r="A167" s="8" t="s">
        <v>25</v>
      </c>
      <c r="B167" s="6"/>
      <c r="C167" s="6"/>
      <c r="D167" s="6"/>
      <c r="E167" s="6"/>
      <c r="F167" s="6"/>
    </row>
    <row r="168" spans="1:6" x14ac:dyDescent="0.3">
      <c r="A168" s="9" t="s">
        <v>28</v>
      </c>
      <c r="B168" s="6">
        <v>0</v>
      </c>
      <c r="C168" s="6">
        <v>19</v>
      </c>
      <c r="D168" s="6">
        <v>20.399999999999999</v>
      </c>
      <c r="E168" s="6">
        <v>56</v>
      </c>
      <c r="F168" s="6">
        <v>2</v>
      </c>
    </row>
    <row r="169" spans="1:6" x14ac:dyDescent="0.3">
      <c r="A169" s="5" t="s">
        <v>15</v>
      </c>
      <c r="B169" s="6"/>
      <c r="C169" s="6"/>
      <c r="D169" s="6"/>
      <c r="E169" s="6"/>
      <c r="F169" s="6"/>
    </row>
    <row r="170" spans="1:6" x14ac:dyDescent="0.3">
      <c r="A170" s="7" t="s">
        <v>22</v>
      </c>
      <c r="B170" s="6"/>
      <c r="C170" s="6"/>
      <c r="D170" s="6"/>
      <c r="E170" s="6"/>
      <c r="F170" s="6"/>
    </row>
    <row r="171" spans="1:6" x14ac:dyDescent="0.3">
      <c r="A171" s="8" t="s">
        <v>25</v>
      </c>
      <c r="B171" s="6"/>
      <c r="C171" s="6"/>
      <c r="D171" s="6"/>
      <c r="E171" s="6"/>
      <c r="F171" s="6"/>
    </row>
    <row r="172" spans="1:6" x14ac:dyDescent="0.3">
      <c r="A172" s="9" t="s">
        <v>28</v>
      </c>
      <c r="B172" s="6">
        <v>-0.2</v>
      </c>
      <c r="C172" s="6">
        <v>38</v>
      </c>
      <c r="D172" s="6">
        <v>21.7</v>
      </c>
      <c r="E172" s="6">
        <v>64</v>
      </c>
      <c r="F172" s="6">
        <v>4</v>
      </c>
    </row>
    <row r="173" spans="1:6" x14ac:dyDescent="0.3">
      <c r="A173" s="5" t="s">
        <v>12</v>
      </c>
      <c r="B173" s="6"/>
      <c r="C173" s="6"/>
      <c r="D173" s="6"/>
      <c r="E173" s="6"/>
      <c r="F173" s="6"/>
    </row>
    <row r="174" spans="1:6" x14ac:dyDescent="0.3">
      <c r="A174" s="7" t="s">
        <v>22</v>
      </c>
      <c r="B174" s="6"/>
      <c r="C174" s="6"/>
      <c r="D174" s="6"/>
      <c r="E174" s="6"/>
      <c r="F174" s="6"/>
    </row>
    <row r="175" spans="1:6" x14ac:dyDescent="0.3">
      <c r="A175" s="8" t="s">
        <v>26</v>
      </c>
      <c r="B175" s="6"/>
      <c r="C175" s="6"/>
      <c r="D175" s="6"/>
      <c r="E175" s="6"/>
      <c r="F175" s="6"/>
    </row>
    <row r="176" spans="1:6" x14ac:dyDescent="0.3">
      <c r="A176" s="9" t="s">
        <v>27</v>
      </c>
      <c r="B176" s="6">
        <v>-0.5</v>
      </c>
      <c r="C176" s="6">
        <v>100</v>
      </c>
      <c r="D176" s="6">
        <v>24.5</v>
      </c>
      <c r="E176" s="6">
        <v>76</v>
      </c>
      <c r="F176" s="6">
        <v>10</v>
      </c>
    </row>
    <row r="177" spans="1:6" x14ac:dyDescent="0.3">
      <c r="A177" s="5" t="s">
        <v>14</v>
      </c>
      <c r="B177" s="6"/>
      <c r="C177" s="6"/>
      <c r="D177" s="6"/>
      <c r="E177" s="6"/>
      <c r="F177" s="6"/>
    </row>
    <row r="178" spans="1:6" x14ac:dyDescent="0.3">
      <c r="A178" s="7" t="s">
        <v>22</v>
      </c>
      <c r="B178" s="6"/>
      <c r="C178" s="6"/>
      <c r="D178" s="6"/>
      <c r="E178" s="6"/>
      <c r="F178" s="6"/>
    </row>
    <row r="179" spans="1:6" x14ac:dyDescent="0.3">
      <c r="A179" s="8" t="s">
        <v>25</v>
      </c>
      <c r="B179" s="6"/>
      <c r="C179" s="6"/>
      <c r="D179" s="6"/>
      <c r="E179" s="6"/>
      <c r="F179" s="6"/>
    </row>
    <row r="180" spans="1:6" x14ac:dyDescent="0.3">
      <c r="A180" s="9" t="s">
        <v>27</v>
      </c>
      <c r="B180" s="6">
        <v>-0.3</v>
      </c>
      <c r="C180" s="6">
        <v>135</v>
      </c>
      <c r="D180" s="6">
        <v>23.1</v>
      </c>
      <c r="E180" s="6">
        <v>79</v>
      </c>
      <c r="F180" s="6">
        <v>13</v>
      </c>
    </row>
    <row r="181" spans="1:6" x14ac:dyDescent="0.3">
      <c r="A181" s="5" t="s">
        <v>20</v>
      </c>
      <c r="B181" s="6"/>
      <c r="C181" s="6"/>
      <c r="D181" s="6"/>
      <c r="E181" s="6"/>
      <c r="F181" s="6"/>
    </row>
    <row r="182" spans="1:6" x14ac:dyDescent="0.3">
      <c r="A182" s="7" t="s">
        <v>22</v>
      </c>
      <c r="B182" s="6"/>
      <c r="C182" s="6"/>
      <c r="D182" s="6"/>
      <c r="E182" s="6"/>
      <c r="F182" s="6"/>
    </row>
    <row r="183" spans="1:6" x14ac:dyDescent="0.3">
      <c r="A183" s="8" t="s">
        <v>25</v>
      </c>
      <c r="B183" s="6"/>
      <c r="C183" s="6"/>
      <c r="D183" s="6"/>
      <c r="E183" s="6"/>
      <c r="F183" s="6"/>
    </row>
    <row r="184" spans="1:6" x14ac:dyDescent="0.3">
      <c r="A184" s="9" t="s">
        <v>28</v>
      </c>
      <c r="B184" s="6">
        <v>0.5</v>
      </c>
      <c r="C184" s="6">
        <v>195</v>
      </c>
      <c r="D184" s="6">
        <v>22.1</v>
      </c>
      <c r="E184" s="6">
        <v>86</v>
      </c>
      <c r="F184" s="6">
        <v>19</v>
      </c>
    </row>
    <row r="185" spans="1:6" x14ac:dyDescent="0.3">
      <c r="A185" s="5" t="s">
        <v>19</v>
      </c>
      <c r="B185" s="6"/>
      <c r="C185" s="6"/>
      <c r="D185" s="6"/>
      <c r="E185" s="6"/>
      <c r="F185" s="6"/>
    </row>
    <row r="186" spans="1:6" x14ac:dyDescent="0.3">
      <c r="A186" s="7" t="s">
        <v>22</v>
      </c>
      <c r="B186" s="6"/>
      <c r="C186" s="6"/>
      <c r="D186" s="6"/>
      <c r="E186" s="6"/>
      <c r="F186" s="6"/>
    </row>
    <row r="187" spans="1:6" x14ac:dyDescent="0.3">
      <c r="A187" s="8" t="s">
        <v>25</v>
      </c>
      <c r="B187" s="6"/>
      <c r="C187" s="6"/>
      <c r="D187" s="6"/>
      <c r="E187" s="6"/>
      <c r="F187" s="6"/>
    </row>
    <row r="188" spans="1:6" x14ac:dyDescent="0.3">
      <c r="A188" s="9" t="s">
        <v>28</v>
      </c>
      <c r="B188" s="6">
        <v>0.4</v>
      </c>
      <c r="C188" s="6">
        <v>38</v>
      </c>
      <c r="D188" s="6">
        <v>23.6</v>
      </c>
      <c r="E188" s="6">
        <v>71</v>
      </c>
      <c r="F188" s="6">
        <v>9</v>
      </c>
    </row>
    <row r="189" spans="1:6" x14ac:dyDescent="0.3">
      <c r="A189" s="5" t="s">
        <v>18</v>
      </c>
      <c r="B189" s="6"/>
      <c r="C189" s="6"/>
      <c r="D189" s="6"/>
      <c r="E189" s="6"/>
      <c r="F189" s="6"/>
    </row>
    <row r="190" spans="1:6" x14ac:dyDescent="0.3">
      <c r="A190" s="7" t="s">
        <v>22</v>
      </c>
      <c r="B190" s="6"/>
      <c r="C190" s="6"/>
      <c r="D190" s="6"/>
      <c r="E190" s="6"/>
      <c r="F190" s="6"/>
    </row>
    <row r="191" spans="1:6" x14ac:dyDescent="0.3">
      <c r="A191" s="8" t="s">
        <v>25</v>
      </c>
      <c r="B191" s="6"/>
      <c r="C191" s="6"/>
      <c r="D191" s="6"/>
      <c r="E191" s="6"/>
      <c r="F191" s="6"/>
    </row>
    <row r="192" spans="1:6" x14ac:dyDescent="0.3">
      <c r="A192" s="9" t="s">
        <v>28</v>
      </c>
      <c r="B192" s="6">
        <v>0.3</v>
      </c>
      <c r="C192" s="6">
        <v>33</v>
      </c>
      <c r="D192" s="6">
        <v>22.5</v>
      </c>
      <c r="E192" s="6">
        <v>62</v>
      </c>
      <c r="F192" s="6">
        <v>3</v>
      </c>
    </row>
    <row r="193" spans="1:6" x14ac:dyDescent="0.3">
      <c r="A193" s="4" t="s">
        <v>32</v>
      </c>
      <c r="B193" s="6"/>
      <c r="C193" s="6"/>
      <c r="D193" s="6"/>
      <c r="E193" s="6"/>
      <c r="F193" s="6"/>
    </row>
    <row r="194" spans="1:6" x14ac:dyDescent="0.3">
      <c r="A194" s="5" t="s">
        <v>40</v>
      </c>
      <c r="B194" s="6"/>
      <c r="C194" s="6"/>
      <c r="D194" s="6"/>
      <c r="E194" s="6"/>
      <c r="F194" s="6"/>
    </row>
    <row r="195" spans="1:6" x14ac:dyDescent="0.3">
      <c r="A195" s="7" t="s">
        <v>40</v>
      </c>
      <c r="B195" s="6"/>
      <c r="C195" s="6"/>
      <c r="D195" s="6"/>
      <c r="E195" s="6"/>
      <c r="F195" s="6"/>
    </row>
    <row r="196" spans="1:6" x14ac:dyDescent="0.3">
      <c r="A196" s="8" t="s">
        <v>40</v>
      </c>
      <c r="B196" s="6"/>
      <c r="C196" s="6"/>
      <c r="D196" s="6"/>
      <c r="E196" s="6"/>
      <c r="F196" s="6"/>
    </row>
    <row r="197" spans="1:6" x14ac:dyDescent="0.3">
      <c r="A197" s="9" t="s">
        <v>40</v>
      </c>
      <c r="B197" s="6">
        <v>0.69599999999999995</v>
      </c>
      <c r="C197" s="6">
        <v>102.08</v>
      </c>
      <c r="D197" s="6">
        <v>22.923999999999999</v>
      </c>
      <c r="E197" s="6">
        <v>71.959999999999994</v>
      </c>
      <c r="F197" s="6">
        <v>9.6999999999999993</v>
      </c>
    </row>
    <row r="198" spans="1:6" x14ac:dyDescent="0.3">
      <c r="A198" s="4" t="s">
        <v>30</v>
      </c>
      <c r="B198" s="6"/>
      <c r="C198" s="6"/>
      <c r="D198" s="6"/>
      <c r="E198" s="6"/>
      <c r="F198" s="6"/>
    </row>
    <row r="199" spans="1:6" x14ac:dyDescent="0.3">
      <c r="A199" s="5" t="s">
        <v>40</v>
      </c>
      <c r="B199" s="6"/>
      <c r="C199" s="6"/>
      <c r="D199" s="6"/>
      <c r="E199" s="6"/>
      <c r="F199" s="6"/>
    </row>
    <row r="200" spans="1:6" x14ac:dyDescent="0.3">
      <c r="A200" s="7" t="s">
        <v>40</v>
      </c>
      <c r="B200" s="6"/>
      <c r="C200" s="6"/>
      <c r="D200" s="6"/>
      <c r="E200" s="6"/>
      <c r="F200" s="6"/>
    </row>
    <row r="201" spans="1:6" x14ac:dyDescent="0.3">
      <c r="A201" s="8" t="s">
        <v>40</v>
      </c>
      <c r="B201" s="6"/>
      <c r="C201" s="6"/>
      <c r="D201" s="6"/>
      <c r="E201" s="6"/>
      <c r="F201" s="6"/>
    </row>
    <row r="202" spans="1:6" x14ac:dyDescent="0.3">
      <c r="A202" s="9" t="s">
        <v>40</v>
      </c>
      <c r="B202" s="6">
        <v>2</v>
      </c>
      <c r="C202" s="6">
        <v>260</v>
      </c>
      <c r="D202" s="6">
        <v>26.4</v>
      </c>
      <c r="E202" s="6">
        <v>91</v>
      </c>
      <c r="F202" s="6">
        <v>24</v>
      </c>
    </row>
    <row r="203" spans="1:6" x14ac:dyDescent="0.3">
      <c r="A203" s="4" t="s">
        <v>34</v>
      </c>
      <c r="B203" s="6"/>
      <c r="C203" s="6"/>
      <c r="D203" s="6"/>
      <c r="E203" s="6"/>
      <c r="F203" s="6"/>
    </row>
    <row r="204" spans="1:6" x14ac:dyDescent="0.3">
      <c r="A204" s="5" t="s">
        <v>40</v>
      </c>
      <c r="B204" s="6"/>
      <c r="C204" s="6"/>
      <c r="D204" s="6"/>
      <c r="E204" s="6"/>
      <c r="F204" s="6"/>
    </row>
    <row r="205" spans="1:6" x14ac:dyDescent="0.3">
      <c r="A205" s="7" t="s">
        <v>40</v>
      </c>
      <c r="B205" s="6"/>
      <c r="C205" s="6"/>
      <c r="D205" s="6"/>
      <c r="E205" s="6"/>
      <c r="F205" s="6"/>
    </row>
    <row r="206" spans="1:6" x14ac:dyDescent="0.3">
      <c r="A206" s="8" t="s">
        <v>40</v>
      </c>
      <c r="B206" s="6"/>
      <c r="C206" s="6"/>
      <c r="D206" s="6"/>
      <c r="E206" s="6"/>
      <c r="F206" s="6"/>
    </row>
    <row r="207" spans="1:6" x14ac:dyDescent="0.3">
      <c r="A207" s="9" t="s">
        <v>40</v>
      </c>
      <c r="B207" s="6">
        <v>0.7</v>
      </c>
      <c r="C207" s="6">
        <v>97.5</v>
      </c>
      <c r="D207" s="6">
        <v>22.75</v>
      </c>
      <c r="E207" s="6">
        <v>74</v>
      </c>
      <c r="F207" s="6">
        <v>9</v>
      </c>
    </row>
    <row r="208" spans="1:6" x14ac:dyDescent="0.3">
      <c r="A208" s="4" t="s">
        <v>31</v>
      </c>
      <c r="B208" s="6"/>
      <c r="C208" s="6"/>
      <c r="D208" s="6"/>
      <c r="E208" s="6"/>
      <c r="F208" s="6"/>
    </row>
    <row r="209" spans="1:6" x14ac:dyDescent="0.3">
      <c r="A209" s="5" t="s">
        <v>40</v>
      </c>
      <c r="B209" s="6"/>
      <c r="C209" s="6"/>
      <c r="D209" s="6"/>
      <c r="E209" s="6"/>
      <c r="F209" s="6"/>
    </row>
    <row r="210" spans="1:6" x14ac:dyDescent="0.3">
      <c r="A210" s="7" t="s">
        <v>40</v>
      </c>
      <c r="B210" s="6"/>
      <c r="C210" s="6"/>
      <c r="D210" s="6"/>
      <c r="E210" s="6"/>
      <c r="F210" s="6"/>
    </row>
    <row r="211" spans="1:6" x14ac:dyDescent="0.3">
      <c r="A211" s="8" t="s">
        <v>40</v>
      </c>
      <c r="B211" s="6"/>
      <c r="C211" s="6"/>
      <c r="D211" s="6"/>
      <c r="E211" s="6"/>
      <c r="F211" s="6"/>
    </row>
    <row r="212" spans="1:6" x14ac:dyDescent="0.3">
      <c r="A212" s="9" t="s">
        <v>40</v>
      </c>
      <c r="B212" s="6">
        <v>-0.8</v>
      </c>
      <c r="C212" s="6">
        <v>18</v>
      </c>
      <c r="D212" s="6">
        <v>20</v>
      </c>
      <c r="E212" s="6">
        <v>6</v>
      </c>
      <c r="F212" s="6">
        <v>2</v>
      </c>
    </row>
    <row r="213" spans="1:6" x14ac:dyDescent="0.3">
      <c r="A213" s="4" t="s">
        <v>33</v>
      </c>
      <c r="B213" s="6"/>
      <c r="C213" s="6"/>
      <c r="D213" s="6"/>
      <c r="E213" s="6"/>
      <c r="F213" s="6"/>
    </row>
    <row r="214" spans="1:6" x14ac:dyDescent="0.3">
      <c r="A214" s="5" t="s">
        <v>40</v>
      </c>
      <c r="B214" s="6"/>
      <c r="C214" s="6"/>
      <c r="D214" s="6"/>
      <c r="E214" s="6"/>
      <c r="F214" s="6"/>
    </row>
    <row r="215" spans="1:6" x14ac:dyDescent="0.3">
      <c r="A215" s="7" t="s">
        <v>40</v>
      </c>
      <c r="B215" s="6"/>
      <c r="C215" s="6"/>
      <c r="D215" s="6"/>
      <c r="E215" s="6"/>
      <c r="F215" s="6"/>
    </row>
    <row r="216" spans="1:6" x14ac:dyDescent="0.3">
      <c r="A216" s="8" t="s">
        <v>40</v>
      </c>
      <c r="B216" s="6"/>
      <c r="C216" s="6"/>
      <c r="D216" s="6"/>
      <c r="E216" s="6"/>
      <c r="F216" s="6"/>
    </row>
    <row r="217" spans="1:6" x14ac:dyDescent="0.3">
      <c r="A217" s="9" t="s">
        <v>40</v>
      </c>
      <c r="B217" s="6">
        <v>1</v>
      </c>
      <c r="C217" s="6">
        <v>102</v>
      </c>
      <c r="D217" s="6">
        <v>23</v>
      </c>
      <c r="E217" s="6">
        <v>72</v>
      </c>
      <c r="F217" s="6">
        <v>10</v>
      </c>
    </row>
    <row r="218" spans="1:6" x14ac:dyDescent="0.3">
      <c r="A218" s="4" t="s">
        <v>29</v>
      </c>
      <c r="B218" s="6"/>
      <c r="C218" s="6"/>
      <c r="D218" s="6"/>
      <c r="E218" s="6"/>
      <c r="F218" s="6"/>
    </row>
    <row r="219" spans="1:6" x14ac:dyDescent="0.3">
      <c r="A219" s="5" t="s">
        <v>40</v>
      </c>
      <c r="B219" s="6"/>
      <c r="C219" s="6"/>
      <c r="D219" s="6"/>
      <c r="E219" s="6"/>
      <c r="F219" s="6"/>
    </row>
    <row r="220" spans="1:6" x14ac:dyDescent="0.3">
      <c r="A220" s="7" t="s">
        <v>40</v>
      </c>
      <c r="B220" s="6"/>
      <c r="C220" s="6"/>
      <c r="D220" s="6"/>
      <c r="E220" s="6"/>
      <c r="F220" s="6"/>
    </row>
    <row r="221" spans="1:6" x14ac:dyDescent="0.3">
      <c r="A221" s="8" t="s">
        <v>40</v>
      </c>
      <c r="B221" s="6"/>
      <c r="C221" s="6"/>
      <c r="D221" s="6"/>
      <c r="E221" s="6"/>
      <c r="F221" s="6"/>
    </row>
    <row r="222" spans="1:6" x14ac:dyDescent="0.3">
      <c r="A222" s="9" t="s">
        <v>40</v>
      </c>
      <c r="B222" s="6">
        <v>34.799999999999997</v>
      </c>
      <c r="C222" s="6">
        <v>5104</v>
      </c>
      <c r="D222" s="6">
        <v>1146.2</v>
      </c>
      <c r="E222" s="6">
        <v>3598</v>
      </c>
      <c r="F222" s="6">
        <v>485</v>
      </c>
    </row>
    <row r="223" spans="1:6" x14ac:dyDescent="0.3">
      <c r="A223" s="4" t="s">
        <v>39</v>
      </c>
      <c r="B223" s="6">
        <v>73.195999999999998</v>
      </c>
      <c r="C223" s="6">
        <v>10787.58</v>
      </c>
      <c r="D223" s="6">
        <v>2407.4740000000002</v>
      </c>
      <c r="E223" s="6">
        <v>7510.96</v>
      </c>
      <c r="F223" s="6">
        <v>1024.7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workbookViewId="0">
      <selection activeCell="C2" sqref="C2"/>
    </sheetView>
  </sheetViews>
  <sheetFormatPr defaultRowHeight="14.4" x14ac:dyDescent="0.3"/>
  <cols>
    <col min="2" max="2" width="9.6640625" customWidth="1"/>
    <col min="3" max="3" width="10.44140625" bestFit="1" customWidth="1"/>
    <col min="4" max="4" width="12.6640625" customWidth="1"/>
    <col min="5" max="5" width="8.44140625" bestFit="1" customWidth="1"/>
    <col min="6" max="6" width="12.5546875" bestFit="1" customWidth="1"/>
    <col min="7" max="7" width="14.77734375" customWidth="1"/>
    <col min="8" max="8" width="7.33203125" bestFit="1" customWidth="1"/>
    <col min="9" max="9" width="14.109375" customWidth="1"/>
    <col min="10" max="10" width="15.5546875" bestFit="1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2023</v>
      </c>
      <c r="B2" t="s">
        <v>10</v>
      </c>
      <c r="C2">
        <v>0.5</v>
      </c>
      <c r="D2">
        <v>45</v>
      </c>
      <c r="E2">
        <v>25.1</v>
      </c>
      <c r="F2">
        <v>60</v>
      </c>
      <c r="G2">
        <v>5</v>
      </c>
      <c r="H2" t="s">
        <v>22</v>
      </c>
      <c r="I2" t="s">
        <v>24</v>
      </c>
      <c r="J2" t="s">
        <v>27</v>
      </c>
    </row>
    <row r="3" spans="1:10" x14ac:dyDescent="0.3">
      <c r="A3">
        <v>2023</v>
      </c>
      <c r="B3" t="s">
        <v>11</v>
      </c>
      <c r="C3">
        <v>0.6</v>
      </c>
      <c r="D3">
        <v>32</v>
      </c>
      <c r="E3">
        <v>26.4</v>
      </c>
      <c r="F3">
        <v>68</v>
      </c>
      <c r="G3">
        <v>3</v>
      </c>
      <c r="H3" t="s">
        <v>22</v>
      </c>
      <c r="I3" t="s">
        <v>24</v>
      </c>
      <c r="J3" t="s">
        <v>27</v>
      </c>
    </row>
    <row r="4" spans="1:10" x14ac:dyDescent="0.3">
      <c r="A4">
        <v>2023</v>
      </c>
      <c r="B4" t="s">
        <v>12</v>
      </c>
      <c r="C4">
        <v>0.7</v>
      </c>
      <c r="D4">
        <v>95</v>
      </c>
      <c r="E4">
        <v>24.8</v>
      </c>
      <c r="F4">
        <v>75</v>
      </c>
      <c r="G4">
        <v>10</v>
      </c>
      <c r="H4" t="s">
        <v>22</v>
      </c>
      <c r="I4" t="s">
        <v>24</v>
      </c>
      <c r="J4" t="s">
        <v>27</v>
      </c>
    </row>
    <row r="5" spans="1:10" x14ac:dyDescent="0.3">
      <c r="A5">
        <v>2023</v>
      </c>
      <c r="B5" t="s">
        <v>13</v>
      </c>
      <c r="C5">
        <v>0.8</v>
      </c>
      <c r="D5">
        <v>180</v>
      </c>
      <c r="E5">
        <v>22.5</v>
      </c>
      <c r="F5">
        <v>84</v>
      </c>
      <c r="G5">
        <v>18</v>
      </c>
      <c r="H5" t="s">
        <v>22</v>
      </c>
      <c r="I5" t="s">
        <v>24</v>
      </c>
      <c r="J5" t="s">
        <v>27</v>
      </c>
    </row>
    <row r="6" spans="1:10" x14ac:dyDescent="0.3">
      <c r="A6">
        <v>2023</v>
      </c>
      <c r="B6" t="s">
        <v>14</v>
      </c>
      <c r="C6">
        <v>0.9</v>
      </c>
      <c r="D6">
        <v>140</v>
      </c>
      <c r="E6">
        <v>23</v>
      </c>
      <c r="F6">
        <v>80</v>
      </c>
      <c r="G6">
        <v>14</v>
      </c>
      <c r="H6" t="s">
        <v>22</v>
      </c>
      <c r="I6" t="s">
        <v>24</v>
      </c>
      <c r="J6" t="s">
        <v>27</v>
      </c>
    </row>
    <row r="7" spans="1:10" x14ac:dyDescent="0.3">
      <c r="A7">
        <v>2023</v>
      </c>
      <c r="B7" t="s">
        <v>15</v>
      </c>
      <c r="C7">
        <v>1</v>
      </c>
      <c r="D7">
        <v>35</v>
      </c>
      <c r="E7">
        <v>21.8</v>
      </c>
      <c r="F7">
        <v>65</v>
      </c>
      <c r="G7">
        <v>4</v>
      </c>
      <c r="H7" t="s">
        <v>22</v>
      </c>
      <c r="I7" t="s">
        <v>24</v>
      </c>
      <c r="J7" t="s">
        <v>27</v>
      </c>
    </row>
    <row r="8" spans="1:10" x14ac:dyDescent="0.3">
      <c r="A8">
        <v>2023</v>
      </c>
      <c r="B8" t="s">
        <v>16</v>
      </c>
      <c r="C8">
        <v>1.1000000000000001</v>
      </c>
      <c r="D8">
        <v>20</v>
      </c>
      <c r="E8">
        <v>20.5</v>
      </c>
      <c r="F8">
        <v>58</v>
      </c>
      <c r="G8">
        <v>2</v>
      </c>
      <c r="H8" t="s">
        <v>22</v>
      </c>
      <c r="I8" t="s">
        <v>24</v>
      </c>
      <c r="J8" t="s">
        <v>27</v>
      </c>
    </row>
    <row r="9" spans="1:10" x14ac:dyDescent="0.3">
      <c r="A9">
        <v>2023</v>
      </c>
      <c r="B9" t="s">
        <v>17</v>
      </c>
      <c r="C9">
        <v>1.3</v>
      </c>
      <c r="D9">
        <v>25</v>
      </c>
      <c r="E9">
        <v>21</v>
      </c>
      <c r="F9">
        <v>60</v>
      </c>
      <c r="G9">
        <v>3</v>
      </c>
      <c r="H9" t="s">
        <v>22</v>
      </c>
      <c r="I9" t="s">
        <v>24</v>
      </c>
      <c r="J9" t="s">
        <v>27</v>
      </c>
    </row>
    <row r="10" spans="1:10" x14ac:dyDescent="0.3">
      <c r="A10">
        <v>2023</v>
      </c>
      <c r="B10" t="s">
        <v>18</v>
      </c>
      <c r="C10">
        <v>1.5</v>
      </c>
      <c r="D10">
        <v>30</v>
      </c>
      <c r="E10">
        <v>22.4</v>
      </c>
      <c r="F10">
        <v>62</v>
      </c>
      <c r="G10">
        <v>3</v>
      </c>
      <c r="H10" t="s">
        <v>22</v>
      </c>
      <c r="I10" t="s">
        <v>24</v>
      </c>
      <c r="J10" t="s">
        <v>27</v>
      </c>
    </row>
    <row r="11" spans="1:10" x14ac:dyDescent="0.3">
      <c r="A11">
        <v>2023</v>
      </c>
      <c r="B11" t="s">
        <v>19</v>
      </c>
      <c r="C11">
        <v>1.7</v>
      </c>
      <c r="D11">
        <v>90</v>
      </c>
      <c r="E11">
        <v>23.5</v>
      </c>
      <c r="F11">
        <v>72</v>
      </c>
      <c r="G11">
        <v>9</v>
      </c>
      <c r="H11" t="s">
        <v>22</v>
      </c>
      <c r="I11" t="s">
        <v>24</v>
      </c>
      <c r="J11" t="s">
        <v>28</v>
      </c>
    </row>
    <row r="12" spans="1:10" x14ac:dyDescent="0.3">
      <c r="A12">
        <v>2023</v>
      </c>
      <c r="B12" t="s">
        <v>20</v>
      </c>
      <c r="C12">
        <v>1.9</v>
      </c>
      <c r="D12">
        <v>210</v>
      </c>
      <c r="E12">
        <v>22</v>
      </c>
      <c r="F12">
        <v>88</v>
      </c>
      <c r="G12">
        <v>20</v>
      </c>
      <c r="H12" t="s">
        <v>22</v>
      </c>
      <c r="I12" t="s">
        <v>24</v>
      </c>
      <c r="J12" t="s">
        <v>28</v>
      </c>
    </row>
    <row r="13" spans="1:10" x14ac:dyDescent="0.3">
      <c r="A13">
        <v>2023</v>
      </c>
      <c r="B13" t="s">
        <v>21</v>
      </c>
      <c r="C13">
        <v>2</v>
      </c>
      <c r="D13">
        <v>160</v>
      </c>
      <c r="E13">
        <v>22.7</v>
      </c>
      <c r="F13">
        <v>82</v>
      </c>
      <c r="G13">
        <v>15</v>
      </c>
      <c r="H13" t="s">
        <v>22</v>
      </c>
      <c r="I13" t="s">
        <v>24</v>
      </c>
      <c r="J13" t="s">
        <v>28</v>
      </c>
    </row>
    <row r="14" spans="1:10" x14ac:dyDescent="0.3">
      <c r="A14">
        <v>2024</v>
      </c>
      <c r="B14" t="s">
        <v>10</v>
      </c>
      <c r="C14">
        <v>1.8</v>
      </c>
      <c r="D14">
        <v>50</v>
      </c>
      <c r="E14">
        <v>25.3</v>
      </c>
      <c r="F14">
        <v>67</v>
      </c>
      <c r="G14">
        <v>5</v>
      </c>
      <c r="H14" t="s">
        <v>22</v>
      </c>
      <c r="I14" t="s">
        <v>24</v>
      </c>
      <c r="J14" t="s">
        <v>28</v>
      </c>
    </row>
    <row r="15" spans="1:10" x14ac:dyDescent="0.3">
      <c r="A15">
        <v>2024</v>
      </c>
      <c r="B15" t="s">
        <v>11</v>
      </c>
      <c r="C15">
        <v>1.6</v>
      </c>
      <c r="D15">
        <v>28</v>
      </c>
      <c r="E15">
        <v>26</v>
      </c>
      <c r="F15">
        <v>59</v>
      </c>
      <c r="G15">
        <v>3</v>
      </c>
      <c r="H15" t="s">
        <v>22</v>
      </c>
      <c r="I15" t="s">
        <v>24</v>
      </c>
      <c r="J15" t="s">
        <v>28</v>
      </c>
    </row>
    <row r="16" spans="1:10" x14ac:dyDescent="0.3">
      <c r="A16">
        <v>2024</v>
      </c>
      <c r="B16" t="s">
        <v>12</v>
      </c>
      <c r="C16">
        <v>1.4</v>
      </c>
      <c r="D16">
        <v>120</v>
      </c>
      <c r="E16">
        <v>24.2</v>
      </c>
      <c r="F16">
        <v>78</v>
      </c>
      <c r="G16">
        <v>12</v>
      </c>
      <c r="H16" t="s">
        <v>22</v>
      </c>
      <c r="I16" t="s">
        <v>24</v>
      </c>
      <c r="J16" t="s">
        <v>28</v>
      </c>
    </row>
    <row r="17" spans="1:10" x14ac:dyDescent="0.3">
      <c r="A17">
        <v>2024</v>
      </c>
      <c r="B17" t="s">
        <v>13</v>
      </c>
      <c r="C17">
        <v>1.2</v>
      </c>
      <c r="D17">
        <v>190</v>
      </c>
      <c r="E17">
        <v>22.1</v>
      </c>
      <c r="F17">
        <v>86</v>
      </c>
      <c r="G17">
        <v>19</v>
      </c>
      <c r="H17" t="s">
        <v>22</v>
      </c>
      <c r="I17" t="s">
        <v>24</v>
      </c>
      <c r="J17" t="s">
        <v>28</v>
      </c>
    </row>
    <row r="18" spans="1:10" x14ac:dyDescent="0.3">
      <c r="A18">
        <v>2024</v>
      </c>
      <c r="B18" t="s">
        <v>14</v>
      </c>
      <c r="C18">
        <v>0.9</v>
      </c>
      <c r="D18">
        <v>155</v>
      </c>
      <c r="E18">
        <v>22.9</v>
      </c>
      <c r="F18">
        <v>83</v>
      </c>
      <c r="G18">
        <v>15</v>
      </c>
      <c r="H18" t="s">
        <v>22</v>
      </c>
      <c r="I18" t="s">
        <v>24</v>
      </c>
      <c r="J18" t="s">
        <v>28</v>
      </c>
    </row>
    <row r="19" spans="1:10" x14ac:dyDescent="0.3">
      <c r="A19">
        <v>2024</v>
      </c>
      <c r="B19" t="s">
        <v>15</v>
      </c>
      <c r="C19">
        <v>0.6</v>
      </c>
      <c r="D19">
        <v>140</v>
      </c>
      <c r="E19">
        <v>21.5</v>
      </c>
      <c r="F19">
        <v>64</v>
      </c>
      <c r="G19">
        <v>4</v>
      </c>
      <c r="H19" t="s">
        <v>22</v>
      </c>
      <c r="I19" t="s">
        <v>24</v>
      </c>
      <c r="J19" t="s">
        <v>28</v>
      </c>
    </row>
    <row r="20" spans="1:10" x14ac:dyDescent="0.3">
      <c r="A20">
        <v>2024</v>
      </c>
      <c r="B20" t="s">
        <v>16</v>
      </c>
      <c r="C20">
        <v>0.3</v>
      </c>
      <c r="D20">
        <v>18</v>
      </c>
      <c r="E20">
        <v>20</v>
      </c>
      <c r="F20">
        <v>57</v>
      </c>
      <c r="G20">
        <v>2</v>
      </c>
      <c r="H20" t="s">
        <v>22</v>
      </c>
      <c r="I20" t="s">
        <v>25</v>
      </c>
      <c r="J20" t="s">
        <v>28</v>
      </c>
    </row>
    <row r="21" spans="1:10" x14ac:dyDescent="0.3">
      <c r="A21">
        <v>2024</v>
      </c>
      <c r="B21" t="s">
        <v>17</v>
      </c>
      <c r="C21">
        <v>0.1</v>
      </c>
      <c r="D21">
        <v>22</v>
      </c>
      <c r="E21">
        <v>20.8</v>
      </c>
      <c r="F21">
        <v>58</v>
      </c>
      <c r="G21">
        <v>2</v>
      </c>
      <c r="H21" t="s">
        <v>22</v>
      </c>
      <c r="I21" t="s">
        <v>25</v>
      </c>
      <c r="J21" t="s">
        <v>27</v>
      </c>
    </row>
    <row r="22" spans="1:10" x14ac:dyDescent="0.3">
      <c r="A22">
        <v>2024</v>
      </c>
      <c r="B22" t="s">
        <v>18</v>
      </c>
      <c r="C22">
        <v>-0.2</v>
      </c>
      <c r="D22">
        <v>35</v>
      </c>
      <c r="E22">
        <v>22.2</v>
      </c>
      <c r="F22">
        <v>63</v>
      </c>
      <c r="G22">
        <v>4</v>
      </c>
      <c r="H22" t="s">
        <v>22</v>
      </c>
      <c r="I22" t="s">
        <v>25</v>
      </c>
      <c r="J22" t="s">
        <v>27</v>
      </c>
    </row>
    <row r="23" spans="1:10" x14ac:dyDescent="0.3">
      <c r="A23">
        <v>2024</v>
      </c>
      <c r="B23" t="s">
        <v>19</v>
      </c>
      <c r="C23">
        <v>-0.4</v>
      </c>
      <c r="D23">
        <v>105</v>
      </c>
      <c r="E23">
        <v>23</v>
      </c>
      <c r="F23">
        <v>74</v>
      </c>
      <c r="G23">
        <v>10</v>
      </c>
      <c r="H23" t="s">
        <v>22</v>
      </c>
      <c r="I23" t="s">
        <v>26</v>
      </c>
      <c r="J23" t="s">
        <v>27</v>
      </c>
    </row>
    <row r="24" spans="1:10" x14ac:dyDescent="0.3">
      <c r="A24">
        <v>2024</v>
      </c>
      <c r="B24" t="s">
        <v>20</v>
      </c>
      <c r="C24">
        <v>-0.6</v>
      </c>
      <c r="D24">
        <v>175</v>
      </c>
      <c r="E24">
        <v>21.9</v>
      </c>
      <c r="F24">
        <v>85</v>
      </c>
      <c r="G24">
        <v>17</v>
      </c>
      <c r="H24" t="s">
        <v>22</v>
      </c>
      <c r="I24" t="s">
        <v>26</v>
      </c>
      <c r="J24" t="s">
        <v>27</v>
      </c>
    </row>
    <row r="25" spans="1:10" x14ac:dyDescent="0.3">
      <c r="A25">
        <v>2024</v>
      </c>
      <c r="B25" t="s">
        <v>21</v>
      </c>
      <c r="C25">
        <v>-0.8</v>
      </c>
      <c r="D25">
        <v>130</v>
      </c>
      <c r="E25">
        <v>22.5</v>
      </c>
      <c r="F25">
        <v>80</v>
      </c>
      <c r="G25">
        <v>13</v>
      </c>
      <c r="H25" t="s">
        <v>22</v>
      </c>
      <c r="I25" t="s">
        <v>26</v>
      </c>
      <c r="J25" t="s">
        <v>27</v>
      </c>
    </row>
    <row r="26" spans="1:10" x14ac:dyDescent="0.3">
      <c r="A26">
        <v>2025</v>
      </c>
      <c r="B26" t="s">
        <v>10</v>
      </c>
      <c r="C26">
        <v>-0.7</v>
      </c>
      <c r="D26">
        <v>42</v>
      </c>
      <c r="E26">
        <v>25</v>
      </c>
      <c r="F26">
        <v>6</v>
      </c>
      <c r="G26">
        <v>4</v>
      </c>
      <c r="H26" t="s">
        <v>22</v>
      </c>
      <c r="I26" t="s">
        <v>26</v>
      </c>
      <c r="J26" t="s">
        <v>27</v>
      </c>
    </row>
    <row r="27" spans="1:10" x14ac:dyDescent="0.3">
      <c r="A27">
        <v>2025</v>
      </c>
      <c r="B27" t="s">
        <v>11</v>
      </c>
      <c r="C27">
        <v>-0.6</v>
      </c>
      <c r="D27">
        <v>30</v>
      </c>
      <c r="E27">
        <v>26.2</v>
      </c>
      <c r="F27">
        <v>60</v>
      </c>
      <c r="G27">
        <v>3</v>
      </c>
      <c r="H27" t="s">
        <v>22</v>
      </c>
      <c r="I27" t="s">
        <v>26</v>
      </c>
      <c r="J27" t="s">
        <v>27</v>
      </c>
    </row>
    <row r="28" spans="1:10" x14ac:dyDescent="0.3">
      <c r="A28">
        <v>2025</v>
      </c>
      <c r="B28" t="s">
        <v>12</v>
      </c>
      <c r="C28">
        <v>-0.5</v>
      </c>
      <c r="D28">
        <v>100</v>
      </c>
      <c r="E28">
        <v>24.5</v>
      </c>
      <c r="F28">
        <v>76</v>
      </c>
      <c r="G28">
        <v>10</v>
      </c>
      <c r="H28" t="s">
        <v>22</v>
      </c>
      <c r="I28" t="s">
        <v>26</v>
      </c>
      <c r="J28" t="s">
        <v>27</v>
      </c>
    </row>
    <row r="29" spans="1:10" x14ac:dyDescent="0.3">
      <c r="A29">
        <v>2025</v>
      </c>
      <c r="B29" t="s">
        <v>13</v>
      </c>
      <c r="C29">
        <v>-0.4</v>
      </c>
      <c r="D29">
        <v>165</v>
      </c>
      <c r="E29">
        <v>22.3</v>
      </c>
      <c r="F29">
        <v>83</v>
      </c>
      <c r="G29">
        <v>17</v>
      </c>
      <c r="H29" t="s">
        <v>22</v>
      </c>
      <c r="I29" t="s">
        <v>26</v>
      </c>
      <c r="J29" t="s">
        <v>27</v>
      </c>
    </row>
    <row r="30" spans="1:10" x14ac:dyDescent="0.3">
      <c r="A30">
        <v>2025</v>
      </c>
      <c r="B30" t="s">
        <v>14</v>
      </c>
      <c r="C30">
        <v>-0.3</v>
      </c>
      <c r="D30">
        <v>135</v>
      </c>
      <c r="E30">
        <v>23.1</v>
      </c>
      <c r="F30">
        <v>79</v>
      </c>
      <c r="G30">
        <v>13</v>
      </c>
      <c r="H30" t="s">
        <v>22</v>
      </c>
      <c r="I30" t="s">
        <v>25</v>
      </c>
      <c r="J30" t="s">
        <v>27</v>
      </c>
    </row>
    <row r="31" spans="1:10" x14ac:dyDescent="0.3">
      <c r="A31">
        <v>2025</v>
      </c>
      <c r="B31" t="s">
        <v>15</v>
      </c>
      <c r="C31">
        <v>-0.2</v>
      </c>
      <c r="D31">
        <v>38</v>
      </c>
      <c r="E31">
        <v>21.7</v>
      </c>
      <c r="F31">
        <v>64</v>
      </c>
      <c r="G31">
        <v>4</v>
      </c>
      <c r="H31" t="s">
        <v>22</v>
      </c>
      <c r="I31" t="s">
        <v>25</v>
      </c>
      <c r="J31" t="s">
        <v>28</v>
      </c>
    </row>
    <row r="32" spans="1:10" x14ac:dyDescent="0.3">
      <c r="A32">
        <v>2025</v>
      </c>
      <c r="B32" t="s">
        <v>16</v>
      </c>
      <c r="C32">
        <v>0</v>
      </c>
      <c r="D32">
        <v>19</v>
      </c>
      <c r="E32">
        <v>20.399999999999999</v>
      </c>
      <c r="F32">
        <v>56</v>
      </c>
      <c r="G32">
        <v>2</v>
      </c>
      <c r="H32" t="s">
        <v>22</v>
      </c>
      <c r="I32" t="s">
        <v>25</v>
      </c>
      <c r="J32" t="s">
        <v>28</v>
      </c>
    </row>
    <row r="33" spans="1:10" x14ac:dyDescent="0.3">
      <c r="A33">
        <v>2025</v>
      </c>
      <c r="B33" t="s">
        <v>17</v>
      </c>
      <c r="C33">
        <v>0.2</v>
      </c>
      <c r="D33">
        <v>24</v>
      </c>
      <c r="E33">
        <v>21.1</v>
      </c>
      <c r="F33">
        <v>59</v>
      </c>
      <c r="G33">
        <v>3</v>
      </c>
      <c r="H33" t="s">
        <v>22</v>
      </c>
      <c r="I33" t="s">
        <v>25</v>
      </c>
      <c r="J33" t="s">
        <v>28</v>
      </c>
    </row>
    <row r="34" spans="1:10" x14ac:dyDescent="0.3">
      <c r="A34">
        <v>2025</v>
      </c>
      <c r="B34" t="s">
        <v>18</v>
      </c>
      <c r="C34">
        <v>0.3</v>
      </c>
      <c r="D34">
        <v>33</v>
      </c>
      <c r="E34">
        <v>22.5</v>
      </c>
      <c r="F34">
        <v>62</v>
      </c>
      <c r="G34">
        <v>3</v>
      </c>
      <c r="H34" t="s">
        <v>22</v>
      </c>
      <c r="I34" t="s">
        <v>25</v>
      </c>
      <c r="J34" t="s">
        <v>28</v>
      </c>
    </row>
    <row r="35" spans="1:10" x14ac:dyDescent="0.3">
      <c r="A35">
        <v>2025</v>
      </c>
      <c r="B35" t="s">
        <v>19</v>
      </c>
      <c r="C35">
        <v>0.4</v>
      </c>
      <c r="D35">
        <v>38</v>
      </c>
      <c r="E35">
        <v>23.6</v>
      </c>
      <c r="F35">
        <v>71</v>
      </c>
      <c r="G35">
        <v>9</v>
      </c>
      <c r="H35" t="s">
        <v>22</v>
      </c>
      <c r="I35" t="s">
        <v>25</v>
      </c>
      <c r="J35" t="s">
        <v>28</v>
      </c>
    </row>
    <row r="36" spans="1:10" x14ac:dyDescent="0.3">
      <c r="A36">
        <v>2025</v>
      </c>
      <c r="B36" t="s">
        <v>20</v>
      </c>
      <c r="C36">
        <v>0.5</v>
      </c>
      <c r="D36">
        <v>195</v>
      </c>
      <c r="E36">
        <v>22.1</v>
      </c>
      <c r="F36">
        <v>86</v>
      </c>
      <c r="G36">
        <v>19</v>
      </c>
      <c r="H36" t="s">
        <v>22</v>
      </c>
      <c r="I36" t="s">
        <v>25</v>
      </c>
      <c r="J36" t="s">
        <v>28</v>
      </c>
    </row>
    <row r="37" spans="1:10" x14ac:dyDescent="0.3">
      <c r="A37">
        <v>2025</v>
      </c>
      <c r="B37" t="s">
        <v>21</v>
      </c>
      <c r="C37">
        <v>0.6</v>
      </c>
      <c r="D37">
        <v>145</v>
      </c>
      <c r="E37">
        <v>22.8</v>
      </c>
      <c r="F37">
        <v>81</v>
      </c>
      <c r="G37">
        <v>14</v>
      </c>
      <c r="H37" t="s">
        <v>23</v>
      </c>
      <c r="I37" t="s">
        <v>25</v>
      </c>
      <c r="J37" t="s">
        <v>28</v>
      </c>
    </row>
    <row r="38" spans="1:10" x14ac:dyDescent="0.3">
      <c r="A38">
        <v>2023</v>
      </c>
      <c r="B38" t="s">
        <v>10</v>
      </c>
      <c r="C38">
        <v>0.7</v>
      </c>
      <c r="D38">
        <v>60</v>
      </c>
      <c r="E38">
        <v>24</v>
      </c>
      <c r="F38">
        <v>72</v>
      </c>
      <c r="G38">
        <v>6</v>
      </c>
      <c r="H38" t="s">
        <v>23</v>
      </c>
      <c r="I38" t="s">
        <v>25</v>
      </c>
      <c r="J38" t="s">
        <v>28</v>
      </c>
    </row>
    <row r="39" spans="1:10" x14ac:dyDescent="0.3">
      <c r="A39">
        <v>2023</v>
      </c>
      <c r="B39" t="s">
        <v>11</v>
      </c>
      <c r="C39">
        <v>0.5</v>
      </c>
      <c r="D39">
        <v>55</v>
      </c>
      <c r="E39">
        <v>25.2</v>
      </c>
      <c r="F39">
        <v>69</v>
      </c>
      <c r="G39">
        <v>5</v>
      </c>
      <c r="H39" t="s">
        <v>23</v>
      </c>
      <c r="I39" t="s">
        <v>25</v>
      </c>
      <c r="J39" t="s">
        <v>28</v>
      </c>
    </row>
    <row r="40" spans="1:10" x14ac:dyDescent="0.3">
      <c r="A40">
        <v>2023</v>
      </c>
      <c r="B40" t="s">
        <v>12</v>
      </c>
      <c r="C40">
        <v>0.6</v>
      </c>
      <c r="D40">
        <v>160</v>
      </c>
      <c r="E40">
        <v>24.1</v>
      </c>
      <c r="F40">
        <v>80</v>
      </c>
      <c r="G40">
        <v>14</v>
      </c>
      <c r="H40" t="s">
        <v>23</v>
      </c>
      <c r="I40" t="s">
        <v>25</v>
      </c>
      <c r="J40" t="s">
        <v>28</v>
      </c>
    </row>
    <row r="41" spans="1:10" x14ac:dyDescent="0.3">
      <c r="A41">
        <v>2023</v>
      </c>
      <c r="B41" t="s">
        <v>13</v>
      </c>
      <c r="C41">
        <v>0.7</v>
      </c>
      <c r="D41">
        <v>220</v>
      </c>
      <c r="E41">
        <v>22.8</v>
      </c>
      <c r="F41">
        <v>88</v>
      </c>
      <c r="G41">
        <v>21</v>
      </c>
      <c r="H41" t="s">
        <v>23</v>
      </c>
      <c r="I41" t="s">
        <v>25</v>
      </c>
      <c r="J41" t="s">
        <v>28</v>
      </c>
    </row>
    <row r="42" spans="1:10" x14ac:dyDescent="0.3">
      <c r="A42">
        <v>2023</v>
      </c>
      <c r="B42" t="s">
        <v>14</v>
      </c>
      <c r="C42">
        <v>0.8</v>
      </c>
      <c r="D42">
        <v>185</v>
      </c>
      <c r="E42">
        <v>23.2</v>
      </c>
      <c r="F42">
        <v>85</v>
      </c>
      <c r="G42">
        <v>17</v>
      </c>
      <c r="H42" t="s">
        <v>23</v>
      </c>
      <c r="I42" t="s">
        <v>25</v>
      </c>
      <c r="J42" t="s">
        <v>27</v>
      </c>
    </row>
    <row r="43" spans="1:10" x14ac:dyDescent="0.3">
      <c r="A43">
        <v>2023</v>
      </c>
      <c r="B43" t="s">
        <v>15</v>
      </c>
      <c r="C43">
        <v>0.9</v>
      </c>
      <c r="D43">
        <v>110</v>
      </c>
      <c r="E43">
        <v>22</v>
      </c>
      <c r="F43">
        <v>78</v>
      </c>
      <c r="G43">
        <v>10</v>
      </c>
      <c r="H43" t="s">
        <v>23</v>
      </c>
      <c r="I43" t="s">
        <v>25</v>
      </c>
      <c r="J43" t="s">
        <v>27</v>
      </c>
    </row>
    <row r="44" spans="1:10" x14ac:dyDescent="0.3">
      <c r="A44">
        <v>2023</v>
      </c>
      <c r="B44" t="s">
        <v>16</v>
      </c>
      <c r="C44">
        <v>1</v>
      </c>
      <c r="D44">
        <v>90</v>
      </c>
      <c r="E44">
        <v>21.4</v>
      </c>
      <c r="F44">
        <v>74</v>
      </c>
      <c r="G44">
        <v>8</v>
      </c>
      <c r="H44" t="s">
        <v>23</v>
      </c>
      <c r="I44" t="s">
        <v>24</v>
      </c>
      <c r="J44" t="s">
        <v>27</v>
      </c>
    </row>
    <row r="45" spans="1:10" x14ac:dyDescent="0.3">
      <c r="A45">
        <v>2023</v>
      </c>
      <c r="B45" t="s">
        <v>17</v>
      </c>
      <c r="C45">
        <v>1.1000000000000001</v>
      </c>
      <c r="D45">
        <v>105</v>
      </c>
      <c r="E45">
        <v>21.8</v>
      </c>
      <c r="F45">
        <v>76</v>
      </c>
      <c r="G45">
        <v>9</v>
      </c>
      <c r="H45" t="s">
        <v>23</v>
      </c>
      <c r="I45" t="s">
        <v>24</v>
      </c>
      <c r="J45" t="s">
        <v>27</v>
      </c>
    </row>
    <row r="46" spans="1:10" x14ac:dyDescent="0.3">
      <c r="A46">
        <v>2023</v>
      </c>
      <c r="B46" t="s">
        <v>18</v>
      </c>
      <c r="C46">
        <v>1.3</v>
      </c>
      <c r="D46">
        <v>130</v>
      </c>
      <c r="E46">
        <v>22.8</v>
      </c>
      <c r="F46">
        <v>79</v>
      </c>
      <c r="G46">
        <v>11</v>
      </c>
      <c r="H46" t="s">
        <v>23</v>
      </c>
      <c r="I46" t="s">
        <v>24</v>
      </c>
      <c r="J46" t="s">
        <v>27</v>
      </c>
    </row>
    <row r="47" spans="1:10" x14ac:dyDescent="0.3">
      <c r="A47">
        <v>2023</v>
      </c>
      <c r="B47" t="s">
        <v>19</v>
      </c>
      <c r="C47">
        <v>1.5</v>
      </c>
      <c r="D47">
        <v>190</v>
      </c>
      <c r="E47">
        <v>22.6</v>
      </c>
      <c r="F47">
        <v>85</v>
      </c>
      <c r="G47">
        <v>24</v>
      </c>
      <c r="H47" t="s">
        <v>23</v>
      </c>
      <c r="I47" t="s">
        <v>24</v>
      </c>
      <c r="J47" t="s">
        <v>27</v>
      </c>
    </row>
    <row r="48" spans="1:10" x14ac:dyDescent="0.3">
      <c r="A48">
        <v>2023</v>
      </c>
      <c r="B48" t="s">
        <v>20</v>
      </c>
      <c r="C48">
        <v>1.7</v>
      </c>
      <c r="D48">
        <v>260</v>
      </c>
      <c r="E48">
        <v>23.1</v>
      </c>
      <c r="F48">
        <v>91</v>
      </c>
      <c r="G48">
        <v>19</v>
      </c>
      <c r="H48" t="s">
        <v>23</v>
      </c>
      <c r="I48" t="s">
        <v>24</v>
      </c>
      <c r="J48" t="s">
        <v>27</v>
      </c>
    </row>
    <row r="49" spans="1:10" x14ac:dyDescent="0.3">
      <c r="A49">
        <v>2023</v>
      </c>
      <c r="B49" t="s">
        <v>21</v>
      </c>
      <c r="C49">
        <v>1.8</v>
      </c>
      <c r="D49">
        <v>205</v>
      </c>
      <c r="E49">
        <v>22.4</v>
      </c>
      <c r="F49">
        <v>87</v>
      </c>
      <c r="G49">
        <v>7</v>
      </c>
      <c r="H49" t="s">
        <v>23</v>
      </c>
      <c r="I49" t="s">
        <v>24</v>
      </c>
      <c r="J49" t="s">
        <v>27</v>
      </c>
    </row>
    <row r="50" spans="1:10" x14ac:dyDescent="0.3">
      <c r="A50">
        <v>2024</v>
      </c>
      <c r="B50" t="s">
        <v>10</v>
      </c>
      <c r="C50">
        <v>1.6</v>
      </c>
      <c r="D50">
        <v>75</v>
      </c>
      <c r="E50">
        <v>22.9</v>
      </c>
      <c r="F50">
        <v>73</v>
      </c>
      <c r="G50">
        <v>6</v>
      </c>
      <c r="H50" t="s">
        <v>23</v>
      </c>
      <c r="I50" t="s">
        <v>24</v>
      </c>
      <c r="J50" t="s">
        <v>27</v>
      </c>
    </row>
    <row r="51" spans="1:10" x14ac:dyDescent="0.3">
      <c r="A51">
        <v>2024</v>
      </c>
      <c r="B51" t="s">
        <v>11</v>
      </c>
      <c r="C51">
        <v>1.4</v>
      </c>
      <c r="D51">
        <v>65</v>
      </c>
      <c r="E51">
        <v>24.5</v>
      </c>
      <c r="F51">
        <v>70</v>
      </c>
      <c r="G51">
        <v>15</v>
      </c>
      <c r="H51" t="s">
        <v>23</v>
      </c>
      <c r="I51" t="s">
        <v>24</v>
      </c>
      <c r="J51" t="s">
        <v>27</v>
      </c>
    </row>
    <row r="52" spans="1:10" x14ac:dyDescent="0.3">
      <c r="A52" s="1" t="s">
        <v>29</v>
      </c>
      <c r="C52">
        <f>SUM(C1:C51)</f>
        <v>34.799999999999997</v>
      </c>
      <c r="D52">
        <f t="shared" ref="D52:G52" si="0">SUM(D1:D51)</f>
        <v>5104</v>
      </c>
      <c r="E52">
        <f t="shared" si="0"/>
        <v>1146.2</v>
      </c>
      <c r="F52">
        <f t="shared" si="0"/>
        <v>3598</v>
      </c>
      <c r="G52">
        <f t="shared" si="0"/>
        <v>485</v>
      </c>
    </row>
    <row r="53" spans="1:10" x14ac:dyDescent="0.3">
      <c r="A53" s="1" t="s">
        <v>30</v>
      </c>
      <c r="C53">
        <f>MAX(C1:C51)</f>
        <v>2</v>
      </c>
      <c r="D53">
        <f t="shared" ref="D53:G53" si="1">MAX(D1:D51)</f>
        <v>260</v>
      </c>
      <c r="E53">
        <f t="shared" si="1"/>
        <v>26.4</v>
      </c>
      <c r="F53">
        <f t="shared" si="1"/>
        <v>91</v>
      </c>
      <c r="G53">
        <f t="shared" si="1"/>
        <v>24</v>
      </c>
    </row>
    <row r="54" spans="1:10" x14ac:dyDescent="0.3">
      <c r="A54" s="1" t="s">
        <v>31</v>
      </c>
      <c r="C54">
        <f>MIN(C1:C51)</f>
        <v>-0.8</v>
      </c>
      <c r="D54">
        <f t="shared" ref="D54:G54" si="2">MIN(D1:D51)</f>
        <v>18</v>
      </c>
      <c r="E54">
        <f t="shared" si="2"/>
        <v>20</v>
      </c>
      <c r="F54">
        <f t="shared" si="2"/>
        <v>6</v>
      </c>
      <c r="G54">
        <f t="shared" si="2"/>
        <v>2</v>
      </c>
    </row>
    <row r="55" spans="1:10" x14ac:dyDescent="0.3">
      <c r="A55" s="1" t="s">
        <v>32</v>
      </c>
      <c r="C55">
        <f>AVERAGE(C1:C51)</f>
        <v>0.69599999999999995</v>
      </c>
      <c r="D55">
        <f t="shared" ref="D55:G55" si="3">AVERAGE(D1:D51)</f>
        <v>102.08</v>
      </c>
      <c r="E55">
        <f t="shared" si="3"/>
        <v>22.923999999999999</v>
      </c>
      <c r="F55">
        <f t="shared" si="3"/>
        <v>71.959999999999994</v>
      </c>
      <c r="G55">
        <f t="shared" si="3"/>
        <v>9.6999999999999993</v>
      </c>
    </row>
    <row r="56" spans="1:10" x14ac:dyDescent="0.3">
      <c r="A56" s="1" t="s">
        <v>33</v>
      </c>
      <c r="C56">
        <f>ROUND(C55,0)</f>
        <v>1</v>
      </c>
      <c r="D56">
        <f t="shared" ref="D56:G56" si="4">ROUND(D55,0)</f>
        <v>102</v>
      </c>
      <c r="E56">
        <f t="shared" si="4"/>
        <v>23</v>
      </c>
      <c r="F56">
        <f t="shared" si="4"/>
        <v>72</v>
      </c>
      <c r="G56">
        <f t="shared" si="4"/>
        <v>10</v>
      </c>
    </row>
    <row r="57" spans="1:10" x14ac:dyDescent="0.3">
      <c r="A57" s="1" t="s">
        <v>34</v>
      </c>
      <c r="C57">
        <f>MEDIAN(C1:C51)</f>
        <v>0.7</v>
      </c>
      <c r="D57">
        <f t="shared" ref="D57:G57" si="5">MEDIAN(D1:D51)</f>
        <v>97.5</v>
      </c>
      <c r="E57">
        <f t="shared" si="5"/>
        <v>22.75</v>
      </c>
      <c r="F57">
        <f t="shared" si="5"/>
        <v>74</v>
      </c>
      <c r="G57">
        <f t="shared" si="5"/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Hi!</dc:creator>
  <cp:lastModifiedBy>Brenda Kimuge</cp:lastModifiedBy>
  <dcterms:created xsi:type="dcterms:W3CDTF">2015-06-05T18:17:20Z</dcterms:created>
  <dcterms:modified xsi:type="dcterms:W3CDTF">2026-10-28T12:05:13Z</dcterms:modified>
</cp:coreProperties>
</file>